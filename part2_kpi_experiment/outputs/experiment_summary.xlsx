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_PROJECT\part2_kpi_experiment\outputs\"/>
    </mc:Choice>
  </mc:AlternateContent>
  <xr:revisionPtr revIDLastSave="0" documentId="13_ncr:1_{6ED15C80-3C90-41A9-8670-EFA0E361C0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5" r:id="rId1"/>
    <sheet name="experiment_data" sheetId="1" r:id="rId2"/>
    <sheet name="business_contex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" l="1" a="1"/>
  <c r="AM2" i="1" s="1"/>
  <c r="AL2" i="1" a="1"/>
  <c r="AL2" i="1" s="1"/>
  <c r="AJ7" i="1" l="1"/>
  <c r="AJ6" i="1"/>
  <c r="AJ5" i="1"/>
  <c r="AI7" i="1"/>
  <c r="AI6" i="1"/>
  <c r="AI5" i="1"/>
  <c r="AF9" i="1"/>
  <c r="AF8" i="1"/>
  <c r="AF7" i="1"/>
  <c r="AF5" i="1"/>
  <c r="AF6" i="1"/>
  <c r="AE9" i="1"/>
  <c r="AE8" i="1"/>
  <c r="AE7" i="1"/>
  <c r="AE5" i="1"/>
  <c r="AE6" i="1"/>
  <c r="AB7" i="1"/>
  <c r="AB5" i="1"/>
  <c r="AB6" i="1"/>
  <c r="AA7" i="1"/>
  <c r="AA5" i="1"/>
  <c r="AA6" i="1"/>
  <c r="X8" i="1"/>
  <c r="X7" i="1"/>
  <c r="X5" i="1"/>
  <c r="X6" i="1"/>
  <c r="W8" i="1"/>
  <c r="W5" i="1"/>
  <c r="W6" i="1"/>
  <c r="W7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T6" i="1"/>
  <c r="S7" i="1"/>
  <c r="S6" i="1"/>
  <c r="T5" i="1"/>
  <c r="S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<sst xmlns="http://schemas.openxmlformats.org/spreadsheetml/2006/main" count="8507" uniqueCount="1489">
  <si>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</si>
  <si>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</si>
  <si>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</si>
  <si>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</si>
  <si>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</si>
  <si>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</si>
  <si>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</si>
  <si>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</si>
  <si>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</si>
  <si>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</si>
  <si>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</si>
  <si>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</si>
  <si>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</si>
  <si>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</si>
  <si>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</si>
  <si>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</si>
  <si>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</si>
  <si>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</si>
  <si>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</si>
  <si>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</si>
  <si>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</si>
  <si>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</si>
  <si>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</si>
  <si>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</si>
  <si>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</si>
  <si>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</si>
  <si>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</si>
  <si>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</si>
  <si>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</si>
  <si>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</si>
  <si>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</si>
  <si>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</si>
  <si>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</si>
  <si>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</si>
  <si>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</si>
  <si>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</si>
  <si>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</si>
  <si>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</si>
  <si>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</si>
  <si>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</si>
  <si>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</si>
  <si>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</si>
  <si>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</si>
  <si>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</si>
  <si>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</si>
  <si>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</si>
  <si>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</si>
  <si>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</si>
  <si>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</si>
  <si>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</si>
  <si>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</si>
  <si>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</si>
  <si>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</si>
  <si>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</si>
  <si>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</si>
  <si>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</si>
  <si>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</si>
  <si>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</si>
  <si>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</si>
  <si>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</si>
  <si>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</si>
  <si>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</si>
  <si>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</si>
  <si>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</si>
  <si>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</si>
  <si>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</si>
  <si>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</si>
  <si>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</si>
  <si>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</si>
  <si>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</si>
  <si>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</si>
  <si>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</si>
  <si>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</si>
  <si>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</si>
  <si>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</si>
  <si>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</si>
  <si>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</si>
  <si>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</si>
  <si>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</si>
  <si>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</si>
  <si>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</si>
  <si>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</si>
  <si>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</si>
  <si>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</si>
  <si>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</si>
  <si>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</si>
  <si>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</si>
  <si>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</si>
  <si>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</si>
  <si>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</si>
  <si>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</si>
  <si>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</si>
  <si>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</si>
  <si>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</si>
  <si>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</si>
  <si>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</si>
  <si>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</si>
  <si>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</si>
  <si>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</si>
  <si>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</si>
  <si>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</si>
  <si>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</si>
  <si>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</si>
  <si>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</si>
  <si>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</si>
  <si>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</si>
  <si>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</si>
  <si>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</si>
  <si>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</si>
  <si>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</si>
  <si>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</si>
  <si>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</si>
  <si>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</si>
  <si>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</si>
  <si>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</si>
  <si>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</si>
  <si>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</si>
  <si>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</si>
  <si>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</si>
  <si>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</si>
  <si>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</si>
  <si>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</si>
  <si>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</si>
  <si>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</si>
  <si>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</si>
  <si>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</si>
  <si>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</si>
  <si>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</si>
  <si>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</si>
  <si>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</si>
  <si>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</si>
  <si>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</si>
  <si>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</si>
  <si>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</si>
  <si>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</si>
  <si>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</si>
  <si>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</si>
  <si>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</si>
  <si>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</si>
  <si>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</si>
  <si>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</si>
  <si>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</si>
  <si>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</si>
  <si>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</si>
  <si>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</si>
  <si>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</si>
  <si>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</si>
  <si>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</si>
  <si>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</si>
  <si>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</si>
  <si>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</si>
  <si>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</si>
  <si>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</si>
  <si>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</si>
  <si>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</si>
  <si>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</si>
  <si>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</si>
  <si>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</si>
  <si>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</si>
  <si>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</si>
  <si>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</si>
  <si>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</si>
  <si>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</si>
  <si>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</si>
  <si>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</si>
  <si>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</si>
  <si>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</si>
  <si>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</si>
  <si>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</si>
  <si>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</si>
  <si>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</si>
  <si>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</si>
  <si>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</si>
  <si>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</si>
  <si>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</si>
  <si>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</si>
  <si>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</si>
  <si>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</si>
  <si>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</si>
  <si>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</si>
  <si>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</si>
  <si>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</si>
  <si>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</si>
  <si>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</si>
  <si>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</si>
  <si>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</si>
  <si>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</si>
  <si>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</si>
  <si>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</si>
  <si>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</si>
  <si>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</si>
  <si>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</si>
  <si>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</si>
  <si>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</si>
  <si>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</si>
  <si>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</si>
  <si>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</si>
  <si>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</si>
  <si>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</si>
  <si>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</si>
  <si>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</si>
  <si>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</si>
  <si>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</si>
  <si>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</si>
  <si>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</si>
  <si>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</si>
  <si>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</si>
  <si>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</si>
  <si>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</si>
  <si>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</si>
  <si>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</si>
  <si>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</si>
  <si>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</si>
  <si>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</si>
  <si>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</si>
  <si>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</si>
  <si>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</si>
  <si>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</si>
  <si>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</si>
  <si>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</si>
  <si>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</si>
  <si>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</si>
  <si>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</si>
  <si>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</si>
  <si>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</si>
  <si>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</si>
  <si>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</si>
  <si>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</si>
  <si>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</si>
  <si>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</si>
  <si>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</si>
  <si>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</si>
  <si>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</si>
  <si>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</si>
  <si>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</si>
  <si>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</si>
  <si>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</si>
  <si>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</si>
  <si>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</si>
  <si>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</si>
  <si>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</si>
  <si>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</si>
  <si>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</si>
  <si>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</si>
  <si>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</si>
  <si>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</si>
  <si>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</si>
  <si>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</si>
  <si>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</si>
  <si>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</si>
  <si>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</si>
  <si>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</si>
  <si>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</si>
  <si>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</si>
  <si>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</si>
  <si>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</si>
  <si>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</si>
  <si>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</si>
  <si>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</si>
  <si>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</si>
  <si>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</si>
  <si>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</si>
  <si>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</si>
  <si>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</si>
  <si>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</si>
  <si>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</si>
  <si>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</si>
  <si>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</si>
  <si>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</si>
  <si>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</si>
  <si>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</si>
  <si>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</si>
  <si>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</si>
  <si>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</si>
  <si>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</si>
  <si>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</si>
  <si>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</si>
  <si>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</si>
  <si>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</si>
  <si>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</si>
  <si>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</si>
  <si>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</si>
  <si>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</si>
  <si>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</si>
  <si>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</si>
  <si>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</si>
  <si>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</si>
  <si>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</si>
  <si>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</si>
  <si>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</si>
  <si>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</si>
  <si>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</si>
  <si>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</si>
  <si>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</si>
  <si>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</si>
  <si>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</si>
  <si>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</si>
  <si>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</si>
  <si>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</si>
  <si>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</si>
  <si>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</si>
  <si>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</si>
  <si>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</si>
  <si>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</si>
  <si>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</si>
  <si>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</si>
  <si>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</si>
  <si>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</si>
  <si>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</si>
  <si>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</si>
  <si>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</si>
  <si>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</si>
  <si>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</si>
  <si>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</si>
  <si>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</si>
  <si>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</si>
  <si>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</si>
  <si>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</si>
  <si>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</si>
  <si>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</si>
  <si>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</si>
  <si>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</si>
  <si>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</si>
  <si>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</si>
  <si>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</si>
  <si>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</si>
  <si>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</si>
  <si>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</si>
  <si>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</si>
  <si>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</si>
  <si>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</si>
  <si>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</si>
  <si>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</si>
  <si>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</si>
  <si>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</si>
  <si>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</si>
  <si>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</si>
  <si>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</si>
  <si>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</si>
  <si>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</si>
  <si>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</si>
  <si>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</si>
  <si>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</si>
  <si>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</si>
  <si>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</si>
  <si>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</si>
  <si>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</si>
  <si>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</si>
  <si>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</si>
  <si>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</si>
  <si>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</si>
  <si>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</si>
  <si>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</si>
  <si>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</si>
  <si>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</si>
  <si>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</si>
  <si>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</si>
  <si>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</si>
  <si>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</si>
  <si>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</si>
  <si>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</si>
  <si>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</si>
  <si>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</si>
  <si>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</si>
  <si>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</si>
  <si>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</si>
  <si>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</si>
  <si>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</si>
  <si>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</si>
  <si>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</si>
  <si>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</si>
  <si>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</si>
  <si>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</si>
  <si>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</si>
  <si>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</si>
  <si>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</si>
  <si>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</si>
  <si>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</si>
  <si>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</si>
  <si>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</si>
  <si>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</si>
  <si>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</si>
  <si>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</si>
  <si>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</si>
  <si>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</si>
  <si>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</si>
  <si>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</si>
  <si>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</si>
  <si>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</si>
  <si>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</si>
  <si>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</si>
  <si>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</si>
  <si>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</si>
  <si>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</si>
  <si>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</si>
  <si>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</si>
  <si>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</si>
  <si>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</si>
  <si>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</si>
  <si>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</si>
  <si>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</si>
  <si>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</si>
  <si>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</si>
  <si>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</si>
  <si>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</si>
  <si>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</si>
  <si>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</si>
  <si>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</si>
  <si>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</si>
  <si>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</si>
  <si>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</si>
  <si>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</si>
  <si>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</si>
  <si>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</si>
  <si>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</si>
  <si>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</si>
  <si>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</si>
  <si>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</si>
  <si>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</si>
  <si>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</si>
  <si>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</si>
  <si>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</si>
  <si>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</si>
  <si>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</si>
  <si>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</si>
  <si>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</si>
  <si>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</si>
  <si>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</si>
  <si>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</si>
  <si>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</si>
  <si>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</si>
  <si>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</si>
  <si>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</si>
  <si>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</si>
  <si>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</si>
  <si>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</si>
  <si>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</si>
  <si>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</si>
  <si>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</si>
  <si>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</si>
  <si>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</si>
  <si>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</si>
  <si>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</si>
  <si>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</si>
  <si>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</si>
  <si>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</si>
  <si>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</si>
  <si>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</si>
  <si>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</si>
  <si>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</si>
  <si>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</si>
  <si>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</si>
  <si>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</si>
  <si>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</si>
  <si>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</si>
  <si>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</si>
  <si>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</si>
  <si>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</si>
  <si>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</si>
  <si>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</si>
  <si>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</si>
  <si>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</si>
  <si>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</si>
  <si>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</si>
  <si>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</si>
  <si>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</si>
  <si>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</si>
  <si>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</si>
  <si>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</si>
  <si>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</si>
  <si>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</si>
  <si>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</si>
  <si>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</si>
  <si>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</si>
  <si>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</si>
  <si>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</si>
  <si>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</si>
  <si>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</si>
  <si>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</si>
  <si>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</si>
  <si>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</si>
  <si>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</si>
  <si>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</si>
  <si>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</si>
  <si>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</si>
  <si>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</si>
  <si>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</si>
  <si>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</si>
  <si>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</si>
  <si>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</si>
  <si>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</si>
  <si>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</si>
  <si>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</si>
  <si>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</si>
  <si>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</si>
  <si>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</si>
  <si>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</si>
  <si>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</si>
  <si>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</si>
  <si>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</si>
  <si>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</si>
  <si>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</si>
  <si>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</si>
  <si>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</si>
  <si>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</si>
  <si>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</si>
  <si>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</si>
  <si>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</si>
  <si>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</si>
  <si>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</si>
  <si>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</si>
  <si>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</si>
  <si>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</si>
  <si>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</si>
  <si>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</si>
  <si>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</si>
  <si>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</si>
  <si>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</si>
  <si>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</si>
  <si>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</si>
  <si>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</si>
  <si>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</si>
  <si>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</si>
  <si>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</si>
  <si>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</si>
  <si>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</si>
  <si>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</si>
  <si>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</si>
  <si>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</si>
  <si>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</si>
  <si>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</si>
  <si>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</si>
  <si>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</si>
  <si>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</si>
  <si>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</si>
  <si>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</si>
  <si>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</si>
  <si>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</si>
  <si>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</si>
  <si>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</si>
  <si>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</si>
  <si>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</si>
  <si>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</si>
  <si>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</si>
  <si>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</si>
  <si>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</si>
  <si>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</si>
  <si>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</si>
  <si>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</si>
  <si>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</si>
  <si>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</si>
  <si>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</si>
  <si>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</si>
  <si>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</si>
  <si>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</si>
  <si>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</si>
  <si>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</si>
  <si>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</si>
  <si>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</si>
  <si>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</si>
  <si>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</si>
  <si>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</si>
  <si>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</si>
  <si>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</si>
  <si>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</si>
  <si>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</si>
  <si>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</si>
  <si>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</si>
  <si>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</si>
  <si>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</si>
  <si>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</si>
  <si>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</si>
  <si>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</si>
  <si>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</si>
  <si>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</si>
  <si>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</si>
  <si>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</si>
  <si>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</si>
  <si>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</si>
  <si>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</si>
  <si>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</si>
  <si>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</si>
  <si>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</si>
  <si>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</si>
  <si>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</si>
  <si>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</si>
  <si>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</si>
  <si>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</si>
  <si>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</si>
  <si>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</si>
  <si>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</si>
  <si>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</si>
  <si>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</si>
  <si>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</si>
  <si>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</si>
  <si>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</si>
  <si>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</si>
  <si>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</si>
  <si>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</si>
  <si>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</si>
  <si>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</si>
  <si>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</si>
  <si>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</si>
  <si>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</si>
  <si>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</si>
  <si>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</si>
  <si>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</si>
  <si>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</si>
  <si>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</si>
  <si>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</si>
  <si>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</si>
  <si>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</si>
  <si>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</si>
  <si>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</si>
  <si>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</si>
  <si>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</si>
  <si>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</si>
  <si>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</si>
  <si>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</si>
  <si>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</si>
  <si>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</si>
  <si>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</si>
  <si>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</si>
  <si>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</si>
  <si>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</si>
  <si>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</si>
  <si>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</si>
  <si>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</si>
  <si>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</si>
  <si>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</si>
  <si>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</si>
  <si>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</si>
  <si>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</si>
  <si>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</si>
  <si>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</si>
  <si>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</si>
  <si>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</si>
  <si>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</si>
  <si>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</si>
  <si>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</si>
  <si>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</si>
  <si>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</si>
  <si>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</si>
  <si>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</si>
  <si>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</si>
  <si>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</si>
  <si>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</si>
  <si>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</si>
  <si>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</si>
  <si>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</si>
  <si>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</si>
  <si>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</si>
  <si>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</si>
  <si>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</si>
  <si>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</si>
  <si>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</si>
  <si>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</si>
  <si>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</si>
  <si>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</si>
  <si>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</si>
  <si>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</si>
  <si>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</si>
  <si>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</si>
  <si>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</si>
  <si>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</si>
  <si>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</si>
  <si>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</si>
  <si>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</si>
  <si>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</si>
  <si>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</si>
  <si>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</si>
  <si>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</si>
  <si>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</si>
  <si>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</si>
  <si>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</si>
  <si>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</si>
  <si>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</si>
  <si>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</si>
  <si>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</si>
  <si>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</si>
  <si>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</si>
  <si>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</si>
  <si>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</si>
  <si>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</si>
  <si>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</si>
  <si>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</si>
  <si>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</si>
  <si>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</si>
  <si>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</si>
  <si>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</si>
  <si>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</si>
  <si>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</si>
  <si>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</si>
  <si>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</si>
  <si>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</si>
  <si>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</si>
  <si>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</si>
  <si>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</si>
  <si>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</si>
  <si>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</si>
  <si>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</si>
  <si>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</si>
  <si>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</si>
  <si>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</si>
  <si>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</si>
  <si>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</si>
  <si>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</si>
  <si>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</si>
  <si>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</si>
  <si>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</si>
  <si>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</si>
  <si>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</si>
  <si>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</si>
  <si>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</si>
  <si>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</si>
  <si>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</si>
  <si>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</si>
  <si>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</si>
  <si>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</si>
  <si>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</si>
  <si>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</si>
  <si>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</si>
  <si>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</si>
  <si>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</si>
  <si>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</si>
  <si>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</si>
  <si>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</si>
  <si>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</si>
  <si>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</si>
  <si>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</si>
  <si>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</si>
  <si>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</si>
  <si>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</si>
  <si>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</si>
  <si>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</si>
  <si>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</si>
  <si>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</si>
  <si>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</si>
  <si>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</si>
  <si>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</si>
  <si>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</si>
  <si>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</si>
  <si>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</si>
  <si>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</si>
  <si>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</si>
  <si>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</si>
  <si>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</si>
  <si>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</si>
  <si>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</si>
  <si>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</si>
  <si>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</si>
  <si>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</si>
  <si>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</si>
  <si>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</si>
  <si>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</si>
  <si>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</si>
  <si>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</si>
  <si>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</si>
  <si>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</si>
  <si>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</si>
  <si>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</si>
  <si>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</si>
  <si>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</si>
  <si>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</si>
  <si>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</si>
  <si>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</si>
  <si>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</si>
  <si>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</si>
  <si>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</si>
  <si>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</si>
  <si>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</si>
  <si>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</si>
  <si>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</si>
  <si>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</si>
  <si>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</si>
  <si>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</si>
  <si>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</si>
  <si>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</si>
  <si>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</si>
  <si>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</si>
  <si>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</si>
  <si>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</si>
  <si>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</si>
  <si>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</si>
  <si>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</si>
  <si>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</si>
  <si>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</si>
  <si>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</si>
  <si>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</si>
  <si>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</si>
  <si>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</si>
  <si>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</si>
  <si>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</si>
  <si>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</si>
  <si>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</si>
  <si>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</si>
  <si>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</si>
  <si>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</si>
  <si>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</si>
  <si>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</si>
  <si>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</si>
  <si>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</si>
  <si>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</si>
  <si>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</si>
  <si>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</si>
  <si>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</si>
  <si>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</si>
  <si>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</si>
  <si>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</si>
  <si>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</si>
  <si>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</si>
  <si>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</si>
  <si>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</si>
  <si>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</si>
  <si>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</si>
  <si>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</si>
  <si>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</si>
  <si>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</si>
  <si>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</si>
  <si>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</si>
  <si>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</si>
  <si>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</si>
  <si>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</si>
  <si>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</si>
  <si>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</si>
  <si>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</si>
  <si>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</si>
  <si>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</si>
  <si>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</si>
  <si>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</si>
  <si>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</si>
  <si>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</si>
  <si>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</si>
  <si>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</si>
  <si>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</si>
  <si>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</si>
  <si>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</si>
  <si>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</si>
  <si>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</si>
  <si>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</si>
  <si>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</si>
  <si>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</si>
  <si>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</si>
  <si>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</si>
  <si>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</si>
  <si>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</si>
  <si>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</si>
  <si>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</si>
  <si>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</si>
  <si>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</si>
  <si>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</si>
  <si>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</si>
  <si>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</si>
  <si>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</si>
  <si>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</si>
  <si>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</si>
  <si>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</si>
  <si>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</si>
  <si>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</si>
  <si>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</si>
  <si>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</si>
  <si>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</si>
  <si>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</si>
  <si>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</si>
  <si>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</si>
  <si>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</si>
  <si>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</si>
  <si>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</si>
  <si>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</si>
  <si>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</si>
  <si>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</si>
  <si>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</si>
  <si>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</si>
  <si>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</si>
  <si>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</si>
  <si>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</si>
  <si>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</si>
  <si>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</si>
  <si>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</si>
  <si>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</si>
  <si>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</si>
  <si>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</si>
  <si>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</si>
  <si>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</si>
  <si>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</si>
  <si>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</si>
  <si>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</si>
  <si>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</si>
  <si>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</si>
  <si>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</si>
  <si>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</si>
  <si>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</si>
  <si>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</si>
  <si>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</si>
  <si>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</si>
  <si>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</si>
  <si>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</si>
  <si>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</si>
  <si>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</si>
  <si>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</si>
  <si>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</si>
  <si>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</si>
  <si>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</si>
  <si>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</si>
  <si>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</si>
  <si>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</si>
  <si>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</si>
  <si>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</si>
  <si>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</si>
  <si>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</si>
  <si>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</si>
  <si>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</si>
  <si>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</si>
  <si>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</si>
  <si>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</si>
  <si>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</si>
  <si>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</si>
  <si>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</si>
  <si>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</si>
  <si>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</si>
  <si>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</si>
  <si>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</si>
  <si>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</si>
  <si>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</si>
  <si>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</si>
  <si>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</si>
  <si>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</si>
  <si>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</si>
  <si>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</si>
  <si>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</si>
  <si>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</si>
  <si>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</si>
  <si>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</si>
  <si>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</si>
  <si>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</si>
  <si>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</si>
  <si>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</si>
  <si>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</si>
  <si>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</si>
  <si>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</si>
  <si>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</si>
  <si>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</si>
  <si>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</si>
  <si>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</si>
  <si>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</si>
  <si>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</si>
  <si>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</si>
  <si>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</si>
  <si>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</si>
  <si>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</si>
  <si>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</si>
  <si>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</si>
  <si>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</si>
  <si>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</si>
  <si>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</si>
  <si>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</si>
  <si>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</si>
  <si>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</si>
  <si>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</si>
  <si>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</si>
  <si>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</si>
  <si>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</si>
  <si>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</si>
  <si>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</si>
  <si>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</si>
  <si>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</si>
  <si>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</si>
  <si>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</si>
  <si>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</si>
  <si>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</si>
  <si>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</si>
  <si>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</si>
  <si>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</si>
  <si>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</si>
  <si>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</si>
  <si>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</si>
  <si>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</si>
  <si>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</si>
  <si>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</si>
  <si>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</si>
  <si>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</si>
  <si>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</si>
  <si>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</si>
  <si>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</si>
  <si>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</si>
  <si>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</si>
  <si>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</si>
  <si>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</si>
  <si>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</si>
  <si>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</si>
  <si>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</si>
  <si>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</si>
  <si>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</si>
  <si>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</si>
  <si>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</si>
  <si>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</si>
  <si>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</si>
  <si>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</si>
  <si>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</si>
  <si>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</si>
  <si>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</si>
  <si>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</si>
  <si>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</si>
  <si>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</si>
  <si>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</si>
  <si>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</si>
  <si>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</si>
  <si>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</si>
  <si>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</si>
  <si>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</si>
  <si>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</si>
  <si>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</si>
  <si>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</si>
  <si>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</si>
  <si>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</si>
  <si>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</si>
  <si>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</si>
  <si>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</si>
  <si>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</si>
  <si>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</si>
  <si>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</si>
  <si>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</si>
  <si>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</si>
  <si>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</si>
  <si>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</si>
  <si>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</si>
  <si>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</si>
  <si>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</si>
  <si>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</si>
  <si>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</si>
  <si>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</si>
  <si>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</si>
  <si>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</si>
  <si>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</si>
  <si>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</si>
  <si>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</si>
  <si>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</si>
  <si>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</si>
  <si>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</si>
  <si>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</si>
  <si>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</si>
  <si>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</si>
  <si>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</si>
  <si>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</si>
  <si>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</si>
  <si>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</si>
  <si>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</si>
  <si>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</si>
  <si>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</si>
  <si>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</si>
  <si>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</si>
  <si>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</si>
  <si>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</si>
  <si>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</si>
  <si>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</si>
  <si>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</si>
  <si>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</si>
  <si>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</si>
  <si>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</si>
  <si>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</si>
  <si>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</si>
  <si>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</si>
  <si>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</si>
  <si>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</si>
  <si>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</si>
  <si>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</si>
  <si>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</si>
  <si>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</si>
  <si>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</si>
  <si>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</si>
  <si>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</si>
  <si>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</si>
  <si>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</si>
  <si>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</si>
  <si>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</si>
  <si>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</si>
  <si>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</si>
  <si>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</si>
  <si>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</si>
  <si>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</si>
  <si>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</si>
  <si>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</si>
  <si>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</si>
  <si>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</si>
  <si>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</si>
  <si>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</si>
  <si>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</si>
  <si>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</si>
  <si>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</si>
  <si>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</si>
  <si>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</si>
  <si>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</si>
  <si>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</si>
  <si>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</si>
  <si>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</si>
  <si>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</si>
  <si>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</si>
  <si>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</si>
  <si>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</si>
  <si>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</si>
  <si>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</si>
  <si>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</si>
  <si>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</si>
  <si>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</si>
  <si>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</si>
  <si>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</si>
  <si>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</si>
  <si>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</si>
  <si>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</si>
  <si>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</si>
  <si>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</si>
  <si>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</si>
  <si>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</si>
  <si>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</si>
  <si>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</si>
  <si>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</si>
  <si>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</si>
  <si>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</si>
  <si>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</si>
  <si>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</si>
  <si>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</si>
  <si>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</si>
  <si>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</si>
  <si>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</si>
  <si>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</si>
  <si>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</si>
  <si>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</si>
  <si>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</si>
  <si>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</si>
  <si>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</si>
  <si>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</si>
  <si>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</si>
  <si>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</si>
  <si>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</si>
  <si>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</si>
  <si>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</si>
  <si>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</si>
  <si>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</si>
  <si>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</si>
  <si>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</si>
  <si>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</si>
  <si>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</si>
  <si>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</si>
  <si>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</si>
  <si>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</si>
  <si>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</si>
  <si>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</si>
  <si>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</si>
  <si>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</si>
  <si>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</si>
  <si>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</si>
  <si>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</si>
  <si>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</si>
  <si>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</si>
  <si>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</si>
  <si>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</si>
  <si>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</si>
  <si>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</si>
  <si>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</si>
  <si>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</si>
  <si>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</si>
  <si>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</si>
  <si>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</si>
  <si>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</si>
  <si>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</si>
  <si>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</si>
  <si>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</si>
  <si>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</si>
  <si>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</si>
  <si>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</si>
  <si>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</si>
  <si>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</si>
  <si>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</si>
  <si>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</si>
  <si>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</si>
  <si>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</si>
  <si>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</si>
  <si>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</si>
  <si>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</si>
  <si>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</si>
  <si>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</si>
  <si>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</si>
  <si>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</si>
  <si>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</si>
  <si>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</si>
  <si>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</si>
  <si>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</si>
  <si>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</si>
  <si>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</si>
  <si>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</si>
  <si>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</si>
  <si>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</si>
  <si>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</si>
  <si>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</si>
  <si>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</si>
  <si>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</si>
  <si>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</si>
  <si>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</si>
  <si>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</si>
  <si>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</si>
  <si>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</si>
  <si>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</si>
  <si>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</si>
  <si>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</si>
  <si>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</si>
  <si>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</si>
  <si>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</si>
  <si>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</si>
  <si>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</si>
  <si>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</si>
  <si>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</si>
  <si>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</si>
  <si>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</si>
  <si>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</si>
  <si>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</si>
  <si>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</si>
  <si>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</si>
  <si>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</si>
  <si>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</si>
  <si>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</si>
  <si>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</si>
  <si>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</si>
  <si>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</si>
  <si>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</si>
  <si>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</si>
  <si>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</si>
  <si>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</si>
  <si>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</si>
  <si>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</si>
  <si>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</si>
  <si>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</si>
  <si>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</si>
  <si>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</si>
  <si>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</si>
  <si>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</si>
  <si>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</si>
  <si>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</si>
  <si>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</si>
  <si>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</si>
  <si>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</si>
  <si>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</si>
  <si>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</si>
  <si>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</si>
  <si>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</si>
  <si>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</si>
  <si>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</si>
  <si>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</si>
  <si>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</si>
  <si>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</si>
  <si>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</si>
  <si>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</si>
  <si>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</si>
  <si>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</si>
  <si>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</si>
  <si>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</si>
  <si>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</si>
  <si>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</si>
  <si>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</si>
  <si>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</si>
  <si>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</si>
  <si>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</si>
  <si>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</si>
  <si>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</si>
  <si>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</si>
  <si>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</si>
  <si>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</si>
  <si>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</si>
  <si>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</si>
  <si>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</si>
  <si>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</si>
  <si>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</si>
  <si>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</si>
  <si>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</si>
  <si>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</si>
  <si>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</si>
  <si>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</si>
  <si>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</si>
  <si>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</si>
  <si>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</si>
  <si>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</si>
  <si>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</si>
  <si>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</si>
  <si>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</si>
  <si>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</si>
  <si>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</si>
  <si>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</si>
  <si>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</si>
  <si>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</si>
  <si>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</si>
  <si>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</si>
  <si>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</si>
  <si>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</si>
  <si>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</si>
  <si>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</si>
  <si>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</si>
  <si>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</si>
  <si>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</si>
  <si>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</si>
  <si>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</si>
  <si>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</si>
  <si>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</si>
  <si>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</si>
  <si>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</si>
  <si>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</si>
  <si>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</si>
  <si>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</si>
  <si>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</si>
  <si>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</si>
  <si>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</si>
  <si>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</si>
  <si>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</si>
  <si>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</si>
  <si>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</si>
  <si>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</si>
  <si>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</si>
  <si>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</si>
  <si>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</si>
  <si>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</si>
  <si>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</si>
  <si>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</si>
  <si>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</si>
  <si>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</si>
  <si>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</si>
  <si>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</si>
  <si>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</si>
  <si>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</si>
  <si>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</si>
  <si>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</si>
  <si>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</si>
  <si>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</si>
  <si>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</si>
  <si>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</si>
  <si>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</si>
  <si>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</si>
  <si>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</si>
  <si>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</si>
  <si>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</si>
  <si>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</si>
  <si>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</si>
  <si>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</si>
  <si>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</si>
  <si>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</si>
  <si>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</si>
  <si>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</si>
  <si>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</si>
  <si>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</si>
  <si>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</si>
  <si>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</si>
  <si>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</si>
  <si>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</si>
  <si>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</si>
  <si>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</si>
  <si>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</si>
  <si>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</si>
  <si>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</si>
  <si>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</si>
  <si>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</si>
  <si>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</si>
  <si>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</si>
  <si>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</si>
  <si>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</si>
  <si>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</si>
  <si>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</si>
  <si>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</si>
  <si>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</si>
  <si>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</si>
  <si>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</si>
  <si>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</si>
  <si>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</si>
  <si>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</si>
  <si>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</si>
  <si>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</si>
  <si>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</si>
  <si>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</si>
  <si>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</si>
  <si>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</si>
  <si>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</si>
  <si>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</si>
  <si>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</si>
  <si>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</si>
  <si>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</si>
  <si>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</si>
  <si>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</si>
  <si>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</si>
  <si>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</si>
  <si>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</si>
  <si>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</si>
  <si>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</si>
  <si>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</si>
  <si>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</si>
  <si>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</si>
  <si>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</si>
  <si>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</si>
  <si>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</si>
  <si>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</si>
  <si>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</si>
  <si>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</si>
  <si>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</si>
  <si>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</si>
  <si>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</si>
  <si>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</si>
  <si>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</si>
  <si>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</si>
  <si>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</si>
  <si>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</si>
  <si>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</si>
  <si>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</si>
  <si>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</si>
  <si>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</si>
  <si>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</si>
  <si>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</si>
  <si>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</si>
  <si>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</si>
  <si>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</si>
  <si>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</si>
  <si>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</si>
  <si>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</si>
  <si>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</si>
  <si>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</si>
  <si>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</si>
  <si>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</si>
  <si>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</si>
  <si>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</si>
  <si>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</si>
  <si>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</si>
  <si>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</si>
  <si>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</si>
  <si>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</si>
  <si>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</si>
  <si>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</si>
  <si>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</si>
  <si>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</si>
  <si>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</si>
  <si>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</si>
  <si>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</si>
  <si>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</si>
  <si>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</si>
  <si>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</si>
  <si>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</si>
  <si>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</si>
  <si>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</si>
  <si>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</si>
  <si>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</si>
  <si>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</si>
  <si>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</si>
  <si>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</si>
  <si>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</si>
  <si>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</si>
  <si>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</si>
  <si>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</si>
  <si>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</si>
  <si>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</si>
  <si>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</si>
  <si>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</si>
  <si>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</si>
  <si>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</si>
  <si>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</si>
  <si>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</si>
  <si>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</si>
  <si>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</si>
  <si>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</si>
  <si>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</si>
  <si>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</si>
  <si>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</t>
  </si>
  <si>
    <t>treatment</t>
  </si>
  <si>
    <t>Task 5: Create Experiment Summary</t>
  </si>
  <si>
    <t xml:space="preserve">control paid conversion rate </t>
  </si>
  <si>
    <t>treatment conversion rate</t>
  </si>
  <si>
    <t xml:space="preserve">east </t>
  </si>
  <si>
    <t>north</t>
  </si>
  <si>
    <t>south</t>
  </si>
  <si>
    <t>west</t>
  </si>
  <si>
    <t>Control Paid Conversion Rate</t>
  </si>
  <si>
    <t>Treatment Paid Conversion Rate</t>
  </si>
  <si>
    <t>free</t>
  </si>
  <si>
    <t>basic</t>
  </si>
  <si>
    <t>premium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</si>
  <si>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</si>
  <si>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</si>
  <si>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</si>
  <si>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</si>
  <si>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</si>
  <si>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</si>
  <si>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</si>
  <si>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</si>
  <si>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</si>
  <si>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</si>
  <si>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</si>
  <si>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treatment paid conversion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</si>
</sst>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color rgb="FF000000"/>
      <name val="Aptos Narrow"/>
      <family val="2"/>
    </font>
    <font>
      <i/>
      <sz val="11"/>
      <name val="Carlito"/>
    </font>
    <font>
      <b/>
      <sz val="11"/>
      <color rgb="FF212A3E"/>
      <name val="Inter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066B-F6A0-4147-993D-6C3D9058F73D}">
  <dimension ref="B11:D23"/>
  <sheetViews>
    <sheetView topLeftCell="A4" workbookViewId="0">
      <selection activeCell="C17" sqref="C17"/>
    </sheetView>
  </sheetViews>
  <sheetFormatPr defaultRowHeight="14.25"/>
  <cols>
    <col min="1" max="2" width="42.375" bestFit="1" customWidth="1"/>
    <col min="3" max="3" width="24.75" bestFit="1" customWidth="1"/>
    <col min="4" max="4" width="27.125" bestFit="1" customWidth="1"/>
  </cols>
  <sheetData>
    <row r="11" spans="2:4">
      <c r="B11" t="s">
        <v>1477</v>
      </c>
    </row>
    <row r="12" spans="2:4" ht="15" thickBot="1"/>
    <row r="13" spans="2:4">
      <c r="B13" s="8"/>
      <c r="C13" s="8" t="s">
        <v>1466</v>
      </c>
      <c r="D13" s="8" t="s">
        <v>1488</v>
      </c>
    </row>
    <row r="14" spans="2:4">
      <c r="B14" s="6" t="s">
        <v>1478</v>
      </c>
      <c r="C14" s="6">
        <v>3.1746031746031744E-2</v>
      </c>
      <c r="D14" s="6">
        <v>6.9930069930069935E-2</v>
      </c>
    </row>
    <row r="15" spans="2:4">
      <c r="B15" s="6" t="s">
        <v>1479</v>
      </c>
      <c r="C15" s="6">
        <v>3.0782640609230204E-2</v>
      </c>
      <c r="D15" s="6">
        <v>6.513094748388866E-2</v>
      </c>
    </row>
    <row r="16" spans="2:4">
      <c r="B16" s="6" t="s">
        <v>1480</v>
      </c>
      <c r="C16" s="6">
        <v>693</v>
      </c>
      <c r="D16" s="6">
        <v>715</v>
      </c>
    </row>
    <row r="17" spans="2:4">
      <c r="B17" s="6" t="s">
        <v>1481</v>
      </c>
      <c r="C17" s="6">
        <v>0</v>
      </c>
      <c r="D17" s="6"/>
    </row>
    <row r="18" spans="2:4">
      <c r="B18" s="6" t="s">
        <v>1482</v>
      </c>
      <c r="C18" s="6">
        <v>1269</v>
      </c>
      <c r="D18" s="6"/>
    </row>
    <row r="19" spans="2:4">
      <c r="B19" s="6" t="s">
        <v>1483</v>
      </c>
      <c r="C19" s="6">
        <v>-3.2801490050026385</v>
      </c>
      <c r="D19" s="6"/>
    </row>
    <row r="20" spans="2:4">
      <c r="B20" s="6" t="s">
        <v>1484</v>
      </c>
      <c r="C20" s="6">
        <v>5.3284668418793798E-4</v>
      </c>
      <c r="D20" s="6"/>
    </row>
    <row r="21" spans="2:4">
      <c r="B21" s="6" t="s">
        <v>1485</v>
      </c>
      <c r="C21" s="6">
        <v>1.646055273058157</v>
      </c>
      <c r="D21" s="6"/>
    </row>
    <row r="22" spans="2:4">
      <c r="B22" s="6" t="s">
        <v>1486</v>
      </c>
      <c r="C22" s="6">
        <v>1.0656933683758766E-3</v>
      </c>
      <c r="D22" s="6"/>
    </row>
    <row r="23" spans="2:4" ht="15" thickBot="1">
      <c r="B23" s="7" t="s">
        <v>1487</v>
      </c>
      <c r="C23" s="7">
        <v>1.961835140575849</v>
      </c>
      <c r="D2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09"/>
  <sheetViews>
    <sheetView tabSelected="1" topLeftCell="M1" zoomScale="82" workbookViewId="0">
      <selection activeCell="X16" sqref="X16"/>
    </sheetView>
  </sheetViews>
  <sheetFormatPr defaultRowHeight="14.25"/>
  <cols>
    <col min="1" max="16" width="16" customWidth="1"/>
    <col min="18" max="18" width="28.25" bestFit="1" customWidth="1"/>
    <col min="19" max="19" width="11.625" customWidth="1"/>
    <col min="20" max="20" width="13" customWidth="1"/>
    <col min="23" max="23" width="24.125" bestFit="1" customWidth="1"/>
    <col min="24" max="24" width="22" bestFit="1" customWidth="1"/>
    <col min="26" max="26" width="9.625" bestFit="1" customWidth="1"/>
    <col min="27" max="27" width="23.5" bestFit="1" customWidth="1"/>
    <col min="28" max="28" width="25.75" bestFit="1" customWidth="1"/>
    <col min="30" max="30" width="11.375" bestFit="1" customWidth="1"/>
    <col min="31" max="31" width="23.5" bestFit="1" customWidth="1"/>
    <col min="32" max="32" width="25.75" bestFit="1" customWidth="1"/>
    <col min="35" max="35" width="23.5" bestFit="1" customWidth="1"/>
    <col min="36" max="36" width="25.75" bestFit="1" customWidth="1"/>
    <col min="38" max="38" width="24.125" bestFit="1" customWidth="1"/>
    <col min="39" max="39" width="24.25" customWidth="1"/>
  </cols>
  <sheetData>
    <row r="1" spans="1:3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AL1" t="s">
        <v>1466</v>
      </c>
      <c r="AM1" t="s">
        <v>1488</v>
      </c>
    </row>
    <row r="2" spans="1:39" ht="15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9" t="s">
        <v>1465</v>
      </c>
      <c r="S2" s="9"/>
      <c r="T2" s="9"/>
      <c r="AL2" cm="1">
        <f t="array" ref="AL2:AL694">_xlfn._xlws.FILTER(K:K,C:C="Control")</f>
        <v>0</v>
      </c>
      <c r="AM2" cm="1">
        <f t="array" ref="AM2:AM716">_xlfn._xlws.FILTER(K:K,C:C="Treatment")</f>
        <v>0</v>
      </c>
    </row>
    <row r="3" spans="1:3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AL3">
        <v>0</v>
      </c>
      <c r="AM3">
        <v>0</v>
      </c>
    </row>
    <row r="4" spans="1:39" ht="15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4" t="s">
        <v>1451</v>
      </c>
      <c r="S4" s="5" t="s">
        <v>1463</v>
      </c>
      <c r="T4" s="5" t="s">
        <v>1464</v>
      </c>
      <c r="V4" s="5" t="s">
        <v>3</v>
      </c>
      <c r="W4" s="5" t="s">
        <v>1466</v>
      </c>
      <c r="X4" s="5" t="s">
        <v>1467</v>
      </c>
      <c r="Z4" s="4" t="s">
        <v>4</v>
      </c>
      <c r="AA4" s="4" t="s">
        <v>1472</v>
      </c>
      <c r="AB4" s="4" t="s">
        <v>1473</v>
      </c>
      <c r="AD4" s="4" t="s">
        <v>5</v>
      </c>
      <c r="AE4" s="4" t="s">
        <v>1472</v>
      </c>
      <c r="AF4" s="4" t="s">
        <v>1473</v>
      </c>
      <c r="AH4" s="4" t="s">
        <v>6</v>
      </c>
      <c r="AI4" s="4" t="s">
        <v>1472</v>
      </c>
      <c r="AJ4" s="4" t="s">
        <v>1473</v>
      </c>
      <c r="AL4">
        <v>0</v>
      </c>
      <c r="AM4">
        <v>0</v>
      </c>
    </row>
    <row r="5" spans="1:39" ht="15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4" t="s">
        <v>1452</v>
      </c>
      <c r="S5" s="5">
        <f>COUNTIF(C:C,"Control")</f>
        <v>693</v>
      </c>
      <c r="T5" s="5">
        <f>COUNTIF(C:C,"Treatment")</f>
        <v>715</v>
      </c>
      <c r="V5" s="5" t="s">
        <v>1468</v>
      </c>
      <c r="W5" s="5">
        <f>COUNTIFS(C:C,"Control",D:D,"East",K:K,1)/COUNTIFS(C:C,"Control",D:D,"East")</f>
        <v>2.5316455696202531E-2</v>
      </c>
      <c r="X5" s="5">
        <f>COUNTIFS(C:C,"Treatment",D:D,"East",K:K,1)/COUNTIFS(C:C,"Treatment",D:D,"East")</f>
        <v>6.3953488372093026E-2</v>
      </c>
      <c r="Z5" s="4" t="s">
        <v>19</v>
      </c>
      <c r="AA5" s="4">
        <f>COUNTIFS(C:C,"Control",E:E,"Desktop",K:K,1)/COUNTIFS(C:C,"Control",E:E,"Desktop")</f>
        <v>4.4999999999999998E-2</v>
      </c>
      <c r="AB5" s="4">
        <f>COUNTIFS(C:C,"Treatment",E:E,"Desktop",K:K,1)/COUNTIFS(C:C,"Treatment",E:E,"Desktop")</f>
        <v>6.5420560747663545E-2</v>
      </c>
      <c r="AD5" s="4" t="s">
        <v>20</v>
      </c>
      <c r="AE5" s="4">
        <f>COUNTIFS(C:C,"Control",F:F,"Email",K:K,1)/COUNTIFS(C:C,"Control",F:F,"Email")</f>
        <v>2.7027027027027029E-2</v>
      </c>
      <c r="AF5" s="4">
        <f>COUNTIFS(C:C,"Treatment",F:F,"Email",K:K,1)/COUNTIFS(C:C,"Treatment",F:F,"Email")</f>
        <v>7.1428571428571425E-2</v>
      </c>
      <c r="AH5" s="5" t="s">
        <v>1474</v>
      </c>
      <c r="AI5" s="5">
        <f>COUNTIFS(C:C,"Control",G:G,"Free",K:K,1)/COUNTIFS(C:C,"Control",G:G,"Free")</f>
        <v>3.0470914127423823E-2</v>
      </c>
      <c r="AJ5" s="5">
        <f>COUNTIFS(C:C,"Treatment",G:G,"Free",K:K,1)/COUNTIFS(C:C,"Treatment",G:G,"Free")</f>
        <v>9.2391304347826081E-2</v>
      </c>
      <c r="AL5">
        <v>0</v>
      </c>
      <c r="AM5">
        <v>0</v>
      </c>
    </row>
    <row r="6" spans="1:39" ht="15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4" t="s">
        <v>1453</v>
      </c>
      <c r="S6" s="5">
        <f>COUNTIFS(C:C,"Control",H:H,1)/COUNTIF(C:C,"Control")</f>
        <v>0.63636363636363635</v>
      </c>
      <c r="T6" s="5">
        <f>COUNTIFS(C:C,"Treatment",H:H,1)/COUNTIF(C:C,"Treatment")</f>
        <v>0.72587412587412592</v>
      </c>
      <c r="V6" s="5" t="s">
        <v>1469</v>
      </c>
      <c r="W6" s="5">
        <f>COUNTIFS(C:C,"Control",D:D,"North",K:K,1)/COUNTIFS(C:C,"Control",D:D,"North")</f>
        <v>3.4482758620689655E-2</v>
      </c>
      <c r="X6" s="5">
        <f>COUNTIFS(C:C,"Treatment",D:D,"North",K:K,1)/COUNTIFS(C:C,"Treatment",D:D,"North")</f>
        <v>8.8888888888888892E-2</v>
      </c>
      <c r="Z6" s="4" t="s">
        <v>24</v>
      </c>
      <c r="AA6" s="4">
        <f>COUNTIFS(C:C,"Control",E:E,"Mobile",K:K,1)/COUNTIFS(C:C,"Control",E:E,"Mobile")</f>
        <v>2.5700934579439252E-2</v>
      </c>
      <c r="AB6" s="4">
        <f>COUNTIFS(C:C,"Treatment",E:E,"Mobile",K:K,1)/COUNTIFS(C:C,"Treatment",E:E,"Mobile")</f>
        <v>7.3394495412844041E-2</v>
      </c>
      <c r="AD6" s="4" t="s">
        <v>25</v>
      </c>
      <c r="AE6" s="4">
        <f>COUNTIFS(C:C,"Control",F:F,"Organic",K:K,1)/COUNTIFS(C:C,"Control",F:F,"Organic")</f>
        <v>2.032520325203252E-2</v>
      </c>
      <c r="AF6" s="4">
        <f>COUNTIFS(C:C,"Treatment",F:F,"Organic",K:K,1)/COUNTIFS(C:C,"Treatment",F:F,"Organic")</f>
        <v>6.2240663900414939E-2</v>
      </c>
      <c r="AH6" s="5" t="s">
        <v>1475</v>
      </c>
      <c r="AI6" s="5">
        <f>COUNTIFS(C:C,"Control",G:G,"Basic",K:K,1)/COUNTIFS(C:C,"Control",G:G,"Basic")</f>
        <v>3.5874439461883408E-2</v>
      </c>
      <c r="AJ6" s="5">
        <f>COUNTIFS(C:C,"Treatment",G:G,"Basic",K:K,1)/COUNTIFS(C:C,"Treatment",G:G,"Basic")</f>
        <v>3.8297872340425532E-2</v>
      </c>
      <c r="AL6">
        <v>0</v>
      </c>
      <c r="AM6">
        <v>0</v>
      </c>
    </row>
    <row r="7" spans="1:39" ht="15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4" t="s">
        <v>1454</v>
      </c>
      <c r="S7" s="5">
        <f>COUNTIFS(C:C,"Control",I:I,1)/COUNTIF(C:C,"Control")</f>
        <v>0.25108225108225107</v>
      </c>
      <c r="T7" s="5">
        <f>COUNTIFS(C:C,"Treatment",I:I,1)/COUNTIF(C:C,"Treatment")</f>
        <v>0.29090909090909089</v>
      </c>
      <c r="V7" s="5" t="s">
        <v>1470</v>
      </c>
      <c r="W7" s="5">
        <f>COUNTIFS(C:C,"Control",D:D,"South",K:K,1)/COUNTIFS(C:C,"Control",D:D,"South")</f>
        <v>3.2608695652173912E-2</v>
      </c>
      <c r="X7" s="5">
        <f>COUNTIFS(C:C,"Treatment",D:D,"South",K:K,1)/COUNTIFS(C:C,"Treatment",D:D,"South")</f>
        <v>7.6086956521739135E-2</v>
      </c>
      <c r="Z7" s="4" t="s">
        <v>34</v>
      </c>
      <c r="AA7" s="4">
        <f>COUNTIFS(C:C,"Control",E:E,"Tablet",K:K,1)/COUNTIFS(C:C,"Control",E:E,"Tablet")</f>
        <v>1.7857142857142856E-2</v>
      </c>
      <c r="AB7" s="4">
        <f>COUNTIFS(C:C,"Treatment",E:E,"Tablet",K:K,1)/COUNTIFS(C:C,"Treatment",E:E,"Tablet")</f>
        <v>7.1428571428571425E-2</v>
      </c>
      <c r="AD7" s="4" t="s">
        <v>29</v>
      </c>
      <c r="AE7" s="4">
        <f>COUNTIFS(C:C,"Control",F:F,"Paid Search",K:K,1)/COUNTIFS(C:C,"Control",F:F,"Paid Search")</f>
        <v>1.282051282051282E-2</v>
      </c>
      <c r="AF7" s="4">
        <f>COUNTIFS(C:C,"Treatment",F:F,"Paid search",K:K,1)/COUNTIFS(C:C,"Treatment",F:F,"Paid Search")</f>
        <v>6.25E-2</v>
      </c>
      <c r="AH7" s="5" t="s">
        <v>1476</v>
      </c>
      <c r="AI7" s="5">
        <f>COUNTIFS(C:C,"Control",G:G,"Premium",K:K,1)/COUNTIFS(C:C,"Control",G:G,"Premium")</f>
        <v>2.7522935779816515E-2</v>
      </c>
      <c r="AJ7" s="5">
        <f>COUNTIFS(C:C,"Treatment",G:G,"Premium",K:K,1)/COUNTIFS(C:C,"Treatment",G:G,"Premium")</f>
        <v>6.25E-2</v>
      </c>
      <c r="AL7">
        <v>0</v>
      </c>
      <c r="AM7">
        <v>0</v>
      </c>
    </row>
    <row r="8" spans="1:39" ht="15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4" t="s">
        <v>1455</v>
      </c>
      <c r="S8" s="5">
        <f>COUNTIFS(C:C,"Control",J:J,1)/COUNTIF(C:C,"Control")</f>
        <v>0.15584415584415584</v>
      </c>
      <c r="T8" s="5">
        <f>COUNTIFS(C:C,"Treatment",J:J,1)/COUNTIF(C:C,"Treatment")</f>
        <v>0.21258741258741259</v>
      </c>
      <c r="V8" s="5" t="s">
        <v>1471</v>
      </c>
      <c r="W8" s="5">
        <f>COUNTIFS(C:C,"Control",D:D,"West",K:K,1)/COUNTIFS(C:C,"Control",D:D,"West")</f>
        <v>3.3783783783783786E-2</v>
      </c>
      <c r="X8" s="5">
        <f>COUNTIFS(C:C,"Treatment",D:D,"West",K:K,1)/COUNTIFS(C:C,"Treatment",D:D,"West")</f>
        <v>5.027932960893855E-2</v>
      </c>
      <c r="AD8" s="4" t="s">
        <v>39</v>
      </c>
      <c r="AE8" s="4">
        <f>COUNTIFS(C:C,"Control",F:F,"Referral",K:K,1)/COUNTIFS(C:C,"Control",F:F,"Referral")</f>
        <v>2.4691358024691357E-2</v>
      </c>
      <c r="AF8" s="4">
        <f>COUNTIFS(C:C,"Treatment",F:F,"Referral",K:K,1)/COUNTIFS(C:C,"Treatment",F:F,"Referral")</f>
        <v>0.10989010989010989</v>
      </c>
      <c r="AL8">
        <v>0</v>
      </c>
      <c r="AM8">
        <v>0</v>
      </c>
    </row>
    <row r="9" spans="1:39" ht="15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4" t="s">
        <v>1456</v>
      </c>
      <c r="S9" s="5">
        <f>COUNTIFS(C:C,"Control",K:K,1)/COUNTIF(C:C,"Control")</f>
        <v>3.1746031746031744E-2</v>
      </c>
      <c r="T9" s="5">
        <f>COUNTIFS(C:C,"Treatment",K:K,1)/COUNTIF(C:C,"Treatment")</f>
        <v>6.9930069930069935E-2</v>
      </c>
      <c r="AD9" s="4" t="s">
        <v>41</v>
      </c>
      <c r="AE9" s="4">
        <f>COUNTIFS(C:C,"Control",F:F,"Social",K:K,1)/COUNTIFS(C:C,"Control",F:F,"Social")</f>
        <v>7.6923076923076927E-2</v>
      </c>
      <c r="AF9" s="4">
        <f>COUNTIFS(C:C,"Treatment",F:F,"Social",K:K,1)/COUNTIFS(C:C,"Treatment",F:F,"social")</f>
        <v>6.0150375939849621E-2</v>
      </c>
      <c r="AL9">
        <v>0</v>
      </c>
      <c r="AM9">
        <v>0</v>
      </c>
    </row>
    <row r="10" spans="1:39" ht="15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 s="4" t="s">
        <v>1457</v>
      </c>
      <c r="S10" s="5">
        <f>SUMIFS(L:L,C:C,"Control")/COUNTIF(C:C,"Control")</f>
        <v>51.74932178932179</v>
      </c>
      <c r="T10" s="5">
        <f>SUMIFS(L:L,C:C,"Treatment")/COUNTIF(C:C,"Treatment")</f>
        <v>53.875118881118873</v>
      </c>
      <c r="AL10">
        <v>0</v>
      </c>
      <c r="AM10">
        <v>0</v>
      </c>
    </row>
    <row r="11" spans="1:39" ht="15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 s="4" t="s">
        <v>1458</v>
      </c>
      <c r="S11" s="5">
        <f>SUMIFS(L:L,C:C,"Control")/
COUNTIFS(C:C,"Control",K:K,1)</f>
        <v>1630.1036363636363</v>
      </c>
      <c r="T11" s="5">
        <f>SUMIFS(L:L,C:C,"Treatment")/
COUNTIFS(C:C,"Treatment",K:K,1)</f>
        <v>770.41419999999982</v>
      </c>
      <c r="AL11">
        <v>0</v>
      </c>
      <c r="AM11">
        <v>0</v>
      </c>
    </row>
    <row r="12" spans="1:39" ht="15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4" t="s">
        <v>1459</v>
      </c>
      <c r="S12" s="5">
        <f>COUNTIFS(C:C,"Control",N:N,1)
/COUNTIF(C:C,"Control")</f>
        <v>0</v>
      </c>
      <c r="T12" s="5">
        <f>COUNTIFS(C:C,"Treatment",N:N,1)
/COUNTIF(C:C,"Treatment")</f>
        <v>4.1958041958041958E-3</v>
      </c>
      <c r="AL12">
        <v>0</v>
      </c>
      <c r="AM12">
        <v>1</v>
      </c>
    </row>
    <row r="13" spans="1:39" ht="15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 s="4" t="s">
        <v>1460</v>
      </c>
      <c r="S13" s="5">
        <f>COUNTIFS(C:C,"Control",M:M,"&gt;0")
/COUNTIF(C:C,"Control")</f>
        <v>0.1471861471861472</v>
      </c>
      <c r="T13" s="5">
        <f>COUNTIFS(C:C,"Treatment",M:M,"&gt;0")
/COUNTIF(C:C,"Treatment")</f>
        <v>0.24755244755244754</v>
      </c>
      <c r="AL13">
        <v>0</v>
      </c>
      <c r="AM13">
        <v>0</v>
      </c>
    </row>
    <row r="14" spans="1:39" ht="15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 s="4" t="s">
        <v>1461</v>
      </c>
      <c r="S14" s="5">
        <f>AVERAGEIFS(P:P,C:C,"Control")</f>
        <v>57.026200873362491</v>
      </c>
      <c r="T14" s="5">
        <f>AVERAGEIFS(P:P,C:C,"treatment")</f>
        <v>62.931966053748233</v>
      </c>
      <c r="AL14">
        <v>0</v>
      </c>
      <c r="AM14">
        <v>0</v>
      </c>
    </row>
    <row r="15" spans="1:39" ht="15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 s="4" t="s">
        <v>1462</v>
      </c>
      <c r="S15" s="5">
        <f>AVERAGEIFS(O:O,C:C,"Control",K:K,1)</f>
        <v>8.8636363636363633</v>
      </c>
      <c r="T15" s="5">
        <f>AVERAGEIFS(O:O,C:C,"Treatment",K:K,1)</f>
        <v>6.4</v>
      </c>
      <c r="AL15">
        <v>0</v>
      </c>
      <c r="AM15">
        <v>0</v>
      </c>
    </row>
    <row r="16" spans="1:3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AL16">
        <v>0</v>
      </c>
      <c r="AM16">
        <v>0</v>
      </c>
    </row>
    <row r="17" spans="1:39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AL17">
        <v>0</v>
      </c>
      <c r="AM17">
        <v>0</v>
      </c>
    </row>
    <row r="18" spans="1:39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AL18">
        <v>0</v>
      </c>
      <c r="AM18">
        <v>0</v>
      </c>
    </row>
    <row r="19" spans="1:39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AL19">
        <v>0</v>
      </c>
      <c r="AM19">
        <v>0</v>
      </c>
    </row>
    <row r="20" spans="1:39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AL20">
        <v>0</v>
      </c>
      <c r="AM20">
        <v>0</v>
      </c>
    </row>
    <row r="21" spans="1:39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AL21">
        <v>0</v>
      </c>
      <c r="AM21">
        <v>0</v>
      </c>
    </row>
    <row r="22" spans="1:39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AL22">
        <v>0</v>
      </c>
      <c r="AM22">
        <v>0</v>
      </c>
    </row>
    <row r="23" spans="1:39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AL23">
        <v>0</v>
      </c>
      <c r="AM23">
        <v>0</v>
      </c>
    </row>
    <row r="24" spans="1:39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AL24">
        <v>0</v>
      </c>
      <c r="AM24">
        <v>1</v>
      </c>
    </row>
    <row r="25" spans="1:39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AL25">
        <v>0</v>
      </c>
      <c r="AM25">
        <v>1</v>
      </c>
    </row>
    <row r="26" spans="1:39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AL26">
        <v>0</v>
      </c>
      <c r="AM26">
        <v>0</v>
      </c>
    </row>
    <row r="27" spans="1:39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AL27">
        <v>0</v>
      </c>
      <c r="AM27">
        <v>0</v>
      </c>
    </row>
    <row r="28" spans="1:39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AL28">
        <v>0</v>
      </c>
      <c r="AM28">
        <v>0</v>
      </c>
    </row>
    <row r="29" spans="1:39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AL29">
        <v>0</v>
      </c>
      <c r="AM29">
        <v>0</v>
      </c>
    </row>
    <row r="30" spans="1:39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AL30">
        <v>0</v>
      </c>
      <c r="AM30">
        <v>0</v>
      </c>
    </row>
    <row r="31" spans="1:39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AL31">
        <v>0</v>
      </c>
      <c r="AM31">
        <v>0</v>
      </c>
    </row>
    <row r="32" spans="1:39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AL32">
        <v>0</v>
      </c>
      <c r="AM32">
        <v>0</v>
      </c>
    </row>
    <row r="33" spans="1:39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AL33">
        <v>0</v>
      </c>
      <c r="AM33">
        <v>0</v>
      </c>
    </row>
    <row r="34" spans="1:39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AL34">
        <v>0</v>
      </c>
      <c r="AM34">
        <v>0</v>
      </c>
    </row>
    <row r="35" spans="1:39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AL35">
        <v>0</v>
      </c>
      <c r="AM35">
        <v>0</v>
      </c>
    </row>
    <row r="36" spans="1:39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AL36">
        <v>0</v>
      </c>
      <c r="AM36">
        <v>0</v>
      </c>
    </row>
    <row r="37" spans="1:39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AL37">
        <v>0</v>
      </c>
      <c r="AM37">
        <v>0</v>
      </c>
    </row>
    <row r="38" spans="1:39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AL38">
        <v>0</v>
      </c>
      <c r="AM38">
        <v>0</v>
      </c>
    </row>
    <row r="39" spans="1:39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AL39">
        <v>0</v>
      </c>
      <c r="AM39">
        <v>1</v>
      </c>
    </row>
    <row r="40" spans="1:39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AL40">
        <v>0</v>
      </c>
      <c r="AM40">
        <v>0</v>
      </c>
    </row>
    <row r="41" spans="1:39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AL41">
        <v>0</v>
      </c>
      <c r="AM41">
        <v>0</v>
      </c>
    </row>
    <row r="42" spans="1:39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AL42">
        <v>0</v>
      </c>
      <c r="AM42">
        <v>0</v>
      </c>
    </row>
    <row r="43" spans="1:39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AL43">
        <v>0</v>
      </c>
      <c r="AM43">
        <v>1</v>
      </c>
    </row>
    <row r="44" spans="1:39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AL44">
        <v>0</v>
      </c>
      <c r="AM44">
        <v>0</v>
      </c>
    </row>
    <row r="45" spans="1:39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AL45">
        <v>0</v>
      </c>
      <c r="AM45">
        <v>0</v>
      </c>
    </row>
    <row r="46" spans="1:39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AL46">
        <v>0</v>
      </c>
      <c r="AM46">
        <v>0</v>
      </c>
    </row>
    <row r="47" spans="1:39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AL47">
        <v>0</v>
      </c>
      <c r="AM47">
        <v>0</v>
      </c>
    </row>
    <row r="48" spans="1:39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AL48">
        <v>0</v>
      </c>
      <c r="AM48">
        <v>0</v>
      </c>
    </row>
    <row r="49" spans="1:39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AL49">
        <v>0</v>
      </c>
      <c r="AM49">
        <v>0</v>
      </c>
    </row>
    <row r="50" spans="1:39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AL50">
        <v>0</v>
      </c>
      <c r="AM50">
        <v>0</v>
      </c>
    </row>
    <row r="51" spans="1:39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AL51">
        <v>0</v>
      </c>
      <c r="AM51">
        <v>0</v>
      </c>
    </row>
    <row r="52" spans="1:39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AL52">
        <v>0</v>
      </c>
      <c r="AM52">
        <v>0</v>
      </c>
    </row>
    <row r="53" spans="1:39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AL53">
        <v>0</v>
      </c>
      <c r="AM53">
        <v>0</v>
      </c>
    </row>
    <row r="54" spans="1:39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AL54">
        <v>0</v>
      </c>
      <c r="AM54">
        <v>0</v>
      </c>
    </row>
    <row r="55" spans="1:39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AL55">
        <v>0</v>
      </c>
      <c r="AM55">
        <v>0</v>
      </c>
    </row>
    <row r="56" spans="1:39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AL56">
        <v>0</v>
      </c>
      <c r="AM56">
        <v>0</v>
      </c>
    </row>
    <row r="57" spans="1:39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AL57">
        <v>0</v>
      </c>
      <c r="AM57">
        <v>0</v>
      </c>
    </row>
    <row r="58" spans="1:39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AL58">
        <v>0</v>
      </c>
      <c r="AM58">
        <v>0</v>
      </c>
    </row>
    <row r="59" spans="1:39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AL59">
        <v>0</v>
      </c>
      <c r="AM59">
        <v>0</v>
      </c>
    </row>
    <row r="60" spans="1:39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AL60">
        <v>0</v>
      </c>
      <c r="AM60">
        <v>0</v>
      </c>
    </row>
    <row r="61" spans="1:39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AL61">
        <v>1</v>
      </c>
      <c r="AM61">
        <v>0</v>
      </c>
    </row>
    <row r="62" spans="1:39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AL62">
        <v>0</v>
      </c>
      <c r="AM62">
        <v>0</v>
      </c>
    </row>
    <row r="63" spans="1:39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AL63">
        <v>0</v>
      </c>
      <c r="AM63">
        <v>0</v>
      </c>
    </row>
    <row r="64" spans="1:39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AL64">
        <v>0</v>
      </c>
      <c r="AM64">
        <v>0</v>
      </c>
    </row>
    <row r="65" spans="1:39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AL65">
        <v>0</v>
      </c>
      <c r="AM65">
        <v>0</v>
      </c>
    </row>
    <row r="66" spans="1:39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AL66">
        <v>0</v>
      </c>
      <c r="AM66">
        <v>0</v>
      </c>
    </row>
    <row r="67" spans="1:39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AL67">
        <v>0</v>
      </c>
      <c r="AM67">
        <v>0</v>
      </c>
    </row>
    <row r="68" spans="1:39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AL68">
        <v>0</v>
      </c>
      <c r="AM68">
        <v>0</v>
      </c>
    </row>
    <row r="69" spans="1:39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AL69">
        <v>0</v>
      </c>
      <c r="AM69">
        <v>1</v>
      </c>
    </row>
    <row r="70" spans="1:39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AL70">
        <v>0</v>
      </c>
      <c r="AM70">
        <v>0</v>
      </c>
    </row>
    <row r="71" spans="1:39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AL71">
        <v>0</v>
      </c>
      <c r="AM71">
        <v>0</v>
      </c>
    </row>
    <row r="72" spans="1:39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AL72">
        <v>0</v>
      </c>
      <c r="AM72">
        <v>0</v>
      </c>
    </row>
    <row r="73" spans="1:39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AL73">
        <v>0</v>
      </c>
      <c r="AM73">
        <v>0</v>
      </c>
    </row>
    <row r="74" spans="1:39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AL74">
        <v>0</v>
      </c>
      <c r="AM74">
        <v>0</v>
      </c>
    </row>
    <row r="75" spans="1:39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AL75">
        <v>0</v>
      </c>
      <c r="AM75">
        <v>0</v>
      </c>
    </row>
    <row r="76" spans="1:39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AL76">
        <v>0</v>
      </c>
      <c r="AM76">
        <v>0</v>
      </c>
    </row>
    <row r="77" spans="1:39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AL77">
        <v>0</v>
      </c>
      <c r="AM77">
        <v>0</v>
      </c>
    </row>
    <row r="78" spans="1:39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AL78">
        <v>0</v>
      </c>
      <c r="AM78">
        <v>0</v>
      </c>
    </row>
    <row r="79" spans="1:39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AL79">
        <v>0</v>
      </c>
      <c r="AM79">
        <v>0</v>
      </c>
    </row>
    <row r="80" spans="1:39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AL80">
        <v>1</v>
      </c>
      <c r="AM80">
        <v>0</v>
      </c>
    </row>
    <row r="81" spans="1:39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AL81">
        <v>0</v>
      </c>
      <c r="AM81">
        <v>0</v>
      </c>
    </row>
    <row r="82" spans="1:39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AL82">
        <v>0</v>
      </c>
      <c r="AM82">
        <v>0</v>
      </c>
    </row>
    <row r="83" spans="1:39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AL83">
        <v>0</v>
      </c>
      <c r="AM83">
        <v>0</v>
      </c>
    </row>
    <row r="84" spans="1:39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AL84">
        <v>0</v>
      </c>
      <c r="AM84">
        <v>0</v>
      </c>
    </row>
    <row r="85" spans="1:39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AL85">
        <v>0</v>
      </c>
      <c r="AM85">
        <v>0</v>
      </c>
    </row>
    <row r="86" spans="1:39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AL86">
        <v>0</v>
      </c>
      <c r="AM86">
        <v>0</v>
      </c>
    </row>
    <row r="87" spans="1:39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AL87">
        <v>0</v>
      </c>
      <c r="AM87">
        <v>0</v>
      </c>
    </row>
    <row r="88" spans="1:39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AL88">
        <v>0</v>
      </c>
      <c r="AM88">
        <v>0</v>
      </c>
    </row>
    <row r="89" spans="1:39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AL89">
        <v>0</v>
      </c>
      <c r="AM89">
        <v>0</v>
      </c>
    </row>
    <row r="90" spans="1:39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AL90">
        <v>0</v>
      </c>
      <c r="AM90">
        <v>0</v>
      </c>
    </row>
    <row r="91" spans="1:39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AL91">
        <v>0</v>
      </c>
      <c r="AM91">
        <v>0</v>
      </c>
    </row>
    <row r="92" spans="1:39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AL92">
        <v>0</v>
      </c>
      <c r="AM92">
        <v>0</v>
      </c>
    </row>
    <row r="93" spans="1:39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AL93">
        <v>0</v>
      </c>
      <c r="AM93">
        <v>0</v>
      </c>
    </row>
    <row r="94" spans="1:39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AL94">
        <v>0</v>
      </c>
      <c r="AM94">
        <v>0</v>
      </c>
    </row>
    <row r="95" spans="1:39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AL95">
        <v>0</v>
      </c>
      <c r="AM95">
        <v>0</v>
      </c>
    </row>
    <row r="96" spans="1:39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AL96">
        <v>0</v>
      </c>
      <c r="AM96">
        <v>0</v>
      </c>
    </row>
    <row r="97" spans="1:39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AL97">
        <v>0</v>
      </c>
      <c r="AM97">
        <v>0</v>
      </c>
    </row>
    <row r="98" spans="1:39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AL98">
        <v>0</v>
      </c>
      <c r="AM98">
        <v>0</v>
      </c>
    </row>
    <row r="99" spans="1:39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AL99">
        <v>0</v>
      </c>
      <c r="AM99">
        <v>0</v>
      </c>
    </row>
    <row r="100" spans="1:39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AL100">
        <v>1</v>
      </c>
      <c r="AM100">
        <v>0</v>
      </c>
    </row>
    <row r="101" spans="1:39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AL101">
        <v>0</v>
      </c>
      <c r="AM101">
        <v>0</v>
      </c>
    </row>
    <row r="102" spans="1:39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AL102">
        <v>0</v>
      </c>
      <c r="AM102">
        <v>0</v>
      </c>
    </row>
    <row r="103" spans="1:39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AL103">
        <v>0</v>
      </c>
      <c r="AM103">
        <v>0</v>
      </c>
    </row>
    <row r="104" spans="1:39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AL104">
        <v>1</v>
      </c>
      <c r="AM104">
        <v>0</v>
      </c>
    </row>
    <row r="105" spans="1:39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AL105">
        <v>0</v>
      </c>
      <c r="AM105">
        <v>0</v>
      </c>
    </row>
    <row r="106" spans="1:39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AL106">
        <v>0</v>
      </c>
      <c r="AM106">
        <v>0</v>
      </c>
    </row>
    <row r="107" spans="1:39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AL107">
        <v>1</v>
      </c>
      <c r="AM107">
        <v>0</v>
      </c>
    </row>
    <row r="108" spans="1:39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AL108">
        <v>0</v>
      </c>
      <c r="AM108">
        <v>0</v>
      </c>
    </row>
    <row r="109" spans="1:39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AL109">
        <v>0</v>
      </c>
      <c r="AM109">
        <v>0</v>
      </c>
    </row>
    <row r="110" spans="1:39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AL110">
        <v>0</v>
      </c>
      <c r="AM110">
        <v>0</v>
      </c>
    </row>
    <row r="111" spans="1:39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AL111">
        <v>0</v>
      </c>
      <c r="AM111">
        <v>0</v>
      </c>
    </row>
    <row r="112" spans="1:39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AL112">
        <v>0</v>
      </c>
      <c r="AM112">
        <v>0</v>
      </c>
    </row>
    <row r="113" spans="1:39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AL113">
        <v>0</v>
      </c>
      <c r="AM113">
        <v>0</v>
      </c>
    </row>
    <row r="114" spans="1:39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AL114">
        <v>0</v>
      </c>
      <c r="AM114">
        <v>0</v>
      </c>
    </row>
    <row r="115" spans="1:39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AL115">
        <v>0</v>
      </c>
      <c r="AM115">
        <v>0</v>
      </c>
    </row>
    <row r="116" spans="1:39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AL116">
        <v>0</v>
      </c>
      <c r="AM116">
        <v>1</v>
      </c>
    </row>
    <row r="117" spans="1:39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AL117">
        <v>0</v>
      </c>
      <c r="AM117">
        <v>0</v>
      </c>
    </row>
    <row r="118" spans="1:39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AL118">
        <v>0</v>
      </c>
      <c r="AM118">
        <v>0</v>
      </c>
    </row>
    <row r="119" spans="1:39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AL119">
        <v>0</v>
      </c>
      <c r="AM119">
        <v>0</v>
      </c>
    </row>
    <row r="120" spans="1:39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AL120">
        <v>0</v>
      </c>
      <c r="AM120">
        <v>0</v>
      </c>
    </row>
    <row r="121" spans="1:39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AL121">
        <v>0</v>
      </c>
      <c r="AM121">
        <v>0</v>
      </c>
    </row>
    <row r="122" spans="1:39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AL122">
        <v>0</v>
      </c>
      <c r="AM122">
        <v>0</v>
      </c>
    </row>
    <row r="123" spans="1:39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AL123">
        <v>0</v>
      </c>
      <c r="AM123">
        <v>0</v>
      </c>
    </row>
    <row r="124" spans="1:39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AL124">
        <v>0</v>
      </c>
      <c r="AM124">
        <v>0</v>
      </c>
    </row>
    <row r="125" spans="1:39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AL125">
        <v>0</v>
      </c>
      <c r="AM125">
        <v>1</v>
      </c>
    </row>
    <row r="126" spans="1:39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AL126">
        <v>0</v>
      </c>
      <c r="AM126">
        <v>0</v>
      </c>
    </row>
    <row r="127" spans="1:39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AL127">
        <v>0</v>
      </c>
      <c r="AM127">
        <v>0</v>
      </c>
    </row>
    <row r="128" spans="1:39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AL128">
        <v>0</v>
      </c>
      <c r="AM128">
        <v>0</v>
      </c>
    </row>
    <row r="129" spans="1:39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AL129">
        <v>0</v>
      </c>
      <c r="AM129">
        <v>0</v>
      </c>
    </row>
    <row r="130" spans="1:39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AL130">
        <v>0</v>
      </c>
      <c r="AM130">
        <v>1</v>
      </c>
    </row>
    <row r="131" spans="1:39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AL131">
        <v>0</v>
      </c>
      <c r="AM131">
        <v>0</v>
      </c>
    </row>
    <row r="132" spans="1:39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AL132">
        <v>0</v>
      </c>
      <c r="AM132">
        <v>0</v>
      </c>
    </row>
    <row r="133" spans="1:39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AL133">
        <v>0</v>
      </c>
      <c r="AM133">
        <v>0</v>
      </c>
    </row>
    <row r="134" spans="1:39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AL134">
        <v>0</v>
      </c>
      <c r="AM134">
        <v>0</v>
      </c>
    </row>
    <row r="135" spans="1:39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AL135">
        <v>0</v>
      </c>
      <c r="AM135">
        <v>0</v>
      </c>
    </row>
    <row r="136" spans="1:39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AL136">
        <v>0</v>
      </c>
      <c r="AM136">
        <v>1</v>
      </c>
    </row>
    <row r="137" spans="1:39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AL137">
        <v>0</v>
      </c>
      <c r="AM137">
        <v>0</v>
      </c>
    </row>
    <row r="138" spans="1:39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AL138">
        <v>0</v>
      </c>
      <c r="AM138">
        <v>0</v>
      </c>
    </row>
    <row r="139" spans="1:39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AL139">
        <v>0</v>
      </c>
      <c r="AM139">
        <v>0</v>
      </c>
    </row>
    <row r="140" spans="1:39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AL140">
        <v>0</v>
      </c>
      <c r="AM140">
        <v>0</v>
      </c>
    </row>
    <row r="141" spans="1:39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AL141">
        <v>0</v>
      </c>
      <c r="AM141">
        <v>1</v>
      </c>
    </row>
    <row r="142" spans="1:39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AL142">
        <v>0</v>
      </c>
      <c r="AM142">
        <v>0</v>
      </c>
    </row>
    <row r="143" spans="1:39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AL143">
        <v>1</v>
      </c>
      <c r="AM143">
        <v>0</v>
      </c>
    </row>
    <row r="144" spans="1:39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AL144">
        <v>0</v>
      </c>
      <c r="AM144">
        <v>1</v>
      </c>
    </row>
    <row r="145" spans="1:39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AL145">
        <v>0</v>
      </c>
      <c r="AM145">
        <v>0</v>
      </c>
    </row>
    <row r="146" spans="1:39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AL146">
        <v>0</v>
      </c>
      <c r="AM146">
        <v>0</v>
      </c>
    </row>
    <row r="147" spans="1:39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AL147">
        <v>0</v>
      </c>
      <c r="AM147">
        <v>1</v>
      </c>
    </row>
    <row r="148" spans="1:39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AL148">
        <v>0</v>
      </c>
      <c r="AM148">
        <v>1</v>
      </c>
    </row>
    <row r="149" spans="1:39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AL149">
        <v>0</v>
      </c>
      <c r="AM149">
        <v>0</v>
      </c>
    </row>
    <row r="150" spans="1:39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AL150">
        <v>1</v>
      </c>
      <c r="AM150">
        <v>0</v>
      </c>
    </row>
    <row r="151" spans="1:39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AL151">
        <v>0</v>
      </c>
      <c r="AM151">
        <v>0</v>
      </c>
    </row>
    <row r="152" spans="1:39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AL152">
        <v>0</v>
      </c>
      <c r="AM152">
        <v>0</v>
      </c>
    </row>
    <row r="153" spans="1:39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AL153">
        <v>0</v>
      </c>
      <c r="AM153">
        <v>0</v>
      </c>
    </row>
    <row r="154" spans="1:39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AL154">
        <v>0</v>
      </c>
      <c r="AM154">
        <v>0</v>
      </c>
    </row>
    <row r="155" spans="1:39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AL155">
        <v>0</v>
      </c>
      <c r="AM155">
        <v>0</v>
      </c>
    </row>
    <row r="156" spans="1:39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AL156">
        <v>0</v>
      </c>
      <c r="AM156">
        <v>0</v>
      </c>
    </row>
    <row r="157" spans="1:39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AL157">
        <v>0</v>
      </c>
      <c r="AM157">
        <v>0</v>
      </c>
    </row>
    <row r="158" spans="1:39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AL158">
        <v>0</v>
      </c>
      <c r="AM158">
        <v>0</v>
      </c>
    </row>
    <row r="159" spans="1:39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AL159">
        <v>0</v>
      </c>
      <c r="AM159">
        <v>0</v>
      </c>
    </row>
    <row r="160" spans="1:39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AL160">
        <v>0</v>
      </c>
      <c r="AM160">
        <v>0</v>
      </c>
    </row>
    <row r="161" spans="1:39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AL161">
        <v>0</v>
      </c>
      <c r="AM161">
        <v>0</v>
      </c>
    </row>
    <row r="162" spans="1:39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AL162">
        <v>0</v>
      </c>
      <c r="AM162">
        <v>0</v>
      </c>
    </row>
    <row r="163" spans="1:39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L163">
        <v>0</v>
      </c>
      <c r="AM163">
        <v>0</v>
      </c>
    </row>
    <row r="164" spans="1:39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AL164">
        <v>0</v>
      </c>
      <c r="AM164">
        <v>0</v>
      </c>
    </row>
    <row r="165" spans="1:39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AL165">
        <v>0</v>
      </c>
      <c r="AM165">
        <v>0</v>
      </c>
    </row>
    <row r="166" spans="1:39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AL166">
        <v>0</v>
      </c>
      <c r="AM166">
        <v>1</v>
      </c>
    </row>
    <row r="167" spans="1:39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AL167">
        <v>1</v>
      </c>
      <c r="AM167">
        <v>0</v>
      </c>
    </row>
    <row r="168" spans="1:39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AL168">
        <v>0</v>
      </c>
      <c r="AM168">
        <v>0</v>
      </c>
    </row>
    <row r="169" spans="1:39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AL169">
        <v>0</v>
      </c>
      <c r="AM169">
        <v>0</v>
      </c>
    </row>
    <row r="170" spans="1:39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AL170">
        <v>0</v>
      </c>
      <c r="AM170">
        <v>1</v>
      </c>
    </row>
    <row r="171" spans="1:39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AL171">
        <v>0</v>
      </c>
      <c r="AM171">
        <v>0</v>
      </c>
    </row>
    <row r="172" spans="1:39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AL172">
        <v>0</v>
      </c>
      <c r="AM172">
        <v>0</v>
      </c>
    </row>
    <row r="173" spans="1:39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AL173">
        <v>0</v>
      </c>
      <c r="AM173">
        <v>0</v>
      </c>
    </row>
    <row r="174" spans="1:39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AL174">
        <v>0</v>
      </c>
      <c r="AM174">
        <v>0</v>
      </c>
    </row>
    <row r="175" spans="1:39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AL175">
        <v>0</v>
      </c>
      <c r="AM175">
        <v>0</v>
      </c>
    </row>
    <row r="176" spans="1:39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AL176">
        <v>0</v>
      </c>
      <c r="AM176">
        <v>0</v>
      </c>
    </row>
    <row r="177" spans="1:39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AL177">
        <v>0</v>
      </c>
      <c r="AM177">
        <v>0</v>
      </c>
    </row>
    <row r="178" spans="1:39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AL178">
        <v>0</v>
      </c>
      <c r="AM178">
        <v>0</v>
      </c>
    </row>
    <row r="179" spans="1:39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AL179">
        <v>0</v>
      </c>
      <c r="AM179">
        <v>0</v>
      </c>
    </row>
    <row r="180" spans="1:39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AL180">
        <v>0</v>
      </c>
      <c r="AM180">
        <v>0</v>
      </c>
    </row>
    <row r="181" spans="1:39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AL181">
        <v>0</v>
      </c>
      <c r="AM181">
        <v>0</v>
      </c>
    </row>
    <row r="182" spans="1:39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AL182">
        <v>0</v>
      </c>
      <c r="AM182">
        <v>0</v>
      </c>
    </row>
    <row r="183" spans="1:39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AL183">
        <v>0</v>
      </c>
      <c r="AM183">
        <v>0</v>
      </c>
    </row>
    <row r="184" spans="1:39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AL184">
        <v>0</v>
      </c>
      <c r="AM184">
        <v>0</v>
      </c>
    </row>
    <row r="185" spans="1:39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AL185">
        <v>0</v>
      </c>
      <c r="AM185">
        <v>0</v>
      </c>
    </row>
    <row r="186" spans="1:39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AL186">
        <v>0</v>
      </c>
      <c r="AM186">
        <v>0</v>
      </c>
    </row>
    <row r="187" spans="1:39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AL187">
        <v>0</v>
      </c>
      <c r="AM187">
        <v>0</v>
      </c>
    </row>
    <row r="188" spans="1:39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AL188">
        <v>0</v>
      </c>
      <c r="AM188">
        <v>0</v>
      </c>
    </row>
    <row r="189" spans="1:39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AL189">
        <v>0</v>
      </c>
      <c r="AM189">
        <v>0</v>
      </c>
    </row>
    <row r="190" spans="1:39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AL190">
        <v>0</v>
      </c>
      <c r="AM190">
        <v>0</v>
      </c>
    </row>
    <row r="191" spans="1:39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AL191">
        <v>0</v>
      </c>
      <c r="AM191">
        <v>0</v>
      </c>
    </row>
    <row r="192" spans="1:39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AL192">
        <v>0</v>
      </c>
      <c r="AM192">
        <v>0</v>
      </c>
    </row>
    <row r="193" spans="1:39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AL193">
        <v>0</v>
      </c>
      <c r="AM193">
        <v>0</v>
      </c>
    </row>
    <row r="194" spans="1:39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AL194">
        <v>0</v>
      </c>
      <c r="AM194">
        <v>0</v>
      </c>
    </row>
    <row r="195" spans="1:39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AL195">
        <v>0</v>
      </c>
      <c r="AM195">
        <v>0</v>
      </c>
    </row>
    <row r="196" spans="1:39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AL196">
        <v>0</v>
      </c>
      <c r="AM196">
        <v>0</v>
      </c>
    </row>
    <row r="197" spans="1:39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AL197">
        <v>0</v>
      </c>
      <c r="AM197">
        <v>0</v>
      </c>
    </row>
    <row r="198" spans="1:39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AL198">
        <v>1</v>
      </c>
      <c r="AM198">
        <v>0</v>
      </c>
    </row>
    <row r="199" spans="1:39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AL199">
        <v>0</v>
      </c>
      <c r="AM199">
        <v>0</v>
      </c>
    </row>
    <row r="200" spans="1:39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AL200">
        <v>0</v>
      </c>
      <c r="AM200">
        <v>1</v>
      </c>
    </row>
    <row r="201" spans="1:39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AL201">
        <v>0</v>
      </c>
      <c r="AM201">
        <v>0</v>
      </c>
    </row>
    <row r="202" spans="1:39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AL202">
        <v>0</v>
      </c>
      <c r="AM202">
        <v>0</v>
      </c>
    </row>
    <row r="203" spans="1:39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AL203">
        <v>0</v>
      </c>
      <c r="AM203">
        <v>0</v>
      </c>
    </row>
    <row r="204" spans="1:39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AL204">
        <v>0</v>
      </c>
      <c r="AM204">
        <v>0</v>
      </c>
    </row>
    <row r="205" spans="1:39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AL205">
        <v>0</v>
      </c>
      <c r="AM205">
        <v>0</v>
      </c>
    </row>
    <row r="206" spans="1:39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AL206">
        <v>0</v>
      </c>
      <c r="AM206">
        <v>0</v>
      </c>
    </row>
    <row r="207" spans="1:39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AL207">
        <v>0</v>
      </c>
      <c r="AM207">
        <v>0</v>
      </c>
    </row>
    <row r="208" spans="1:39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AL208">
        <v>0</v>
      </c>
      <c r="AM208">
        <v>0</v>
      </c>
    </row>
    <row r="209" spans="1:39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AL209">
        <v>0</v>
      </c>
      <c r="AM209">
        <v>0</v>
      </c>
    </row>
    <row r="210" spans="1:39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AL210">
        <v>0</v>
      </c>
      <c r="AM210">
        <v>0</v>
      </c>
    </row>
    <row r="211" spans="1:39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AL211">
        <v>0</v>
      </c>
      <c r="AM211">
        <v>0</v>
      </c>
    </row>
    <row r="212" spans="1:39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AL212">
        <v>1</v>
      </c>
      <c r="AM212">
        <v>0</v>
      </c>
    </row>
    <row r="213" spans="1:39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AL213">
        <v>0</v>
      </c>
      <c r="AM213">
        <v>0</v>
      </c>
    </row>
    <row r="214" spans="1:39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AL214">
        <v>0</v>
      </c>
      <c r="AM214">
        <v>0</v>
      </c>
    </row>
    <row r="215" spans="1:39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AL215">
        <v>0</v>
      </c>
      <c r="AM215">
        <v>0</v>
      </c>
    </row>
    <row r="216" spans="1:39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AL216">
        <v>0</v>
      </c>
      <c r="AM216">
        <v>1</v>
      </c>
    </row>
    <row r="217" spans="1:39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AL217">
        <v>0</v>
      </c>
      <c r="AM217">
        <v>0</v>
      </c>
    </row>
    <row r="218" spans="1:39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AL218">
        <v>0</v>
      </c>
      <c r="AM218">
        <v>0</v>
      </c>
    </row>
    <row r="219" spans="1:39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AL219">
        <v>0</v>
      </c>
      <c r="AM219">
        <v>0</v>
      </c>
    </row>
    <row r="220" spans="1:39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AL220">
        <v>0</v>
      </c>
      <c r="AM220">
        <v>0</v>
      </c>
    </row>
    <row r="221" spans="1:39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AL221">
        <v>0</v>
      </c>
      <c r="AM221">
        <v>0</v>
      </c>
    </row>
    <row r="222" spans="1:39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AL222">
        <v>0</v>
      </c>
      <c r="AM222">
        <v>0</v>
      </c>
    </row>
    <row r="223" spans="1:39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AL223">
        <v>0</v>
      </c>
      <c r="AM223">
        <v>0</v>
      </c>
    </row>
    <row r="224" spans="1:39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AL224">
        <v>0</v>
      </c>
      <c r="AM224">
        <v>0</v>
      </c>
    </row>
    <row r="225" spans="1:39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AL225">
        <v>0</v>
      </c>
      <c r="AM225">
        <v>0</v>
      </c>
    </row>
    <row r="226" spans="1:39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AL226">
        <v>0</v>
      </c>
      <c r="AM226">
        <v>0</v>
      </c>
    </row>
    <row r="227" spans="1:39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AL227">
        <v>0</v>
      </c>
      <c r="AM227">
        <v>0</v>
      </c>
    </row>
    <row r="228" spans="1:39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AL228">
        <v>0</v>
      </c>
      <c r="AM228">
        <v>0</v>
      </c>
    </row>
    <row r="229" spans="1:39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AL229">
        <v>0</v>
      </c>
      <c r="AM229">
        <v>0</v>
      </c>
    </row>
    <row r="230" spans="1:39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AL230">
        <v>0</v>
      </c>
      <c r="AM230">
        <v>0</v>
      </c>
    </row>
    <row r="231" spans="1:39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AL231">
        <v>0</v>
      </c>
      <c r="AM231">
        <v>0</v>
      </c>
    </row>
    <row r="232" spans="1:39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AL232">
        <v>0</v>
      </c>
      <c r="AM232">
        <v>1</v>
      </c>
    </row>
    <row r="233" spans="1:39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AL233">
        <v>0</v>
      </c>
      <c r="AM233">
        <v>0</v>
      </c>
    </row>
    <row r="234" spans="1:39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AL234">
        <v>0</v>
      </c>
      <c r="AM234">
        <v>0</v>
      </c>
    </row>
    <row r="235" spans="1:39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AL235">
        <v>0</v>
      </c>
      <c r="AM235">
        <v>0</v>
      </c>
    </row>
    <row r="236" spans="1:39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AL236">
        <v>0</v>
      </c>
      <c r="AM236">
        <v>0</v>
      </c>
    </row>
    <row r="237" spans="1:39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AL237">
        <v>0</v>
      </c>
      <c r="AM237">
        <v>0</v>
      </c>
    </row>
    <row r="238" spans="1:39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AL238">
        <v>0</v>
      </c>
      <c r="AM238">
        <v>0</v>
      </c>
    </row>
    <row r="239" spans="1:39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AL239">
        <v>0</v>
      </c>
      <c r="AM239">
        <v>0</v>
      </c>
    </row>
    <row r="240" spans="1:39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AL240">
        <v>0</v>
      </c>
      <c r="AM240">
        <v>0</v>
      </c>
    </row>
    <row r="241" spans="1:39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AL241">
        <v>0</v>
      </c>
      <c r="AM241">
        <v>0</v>
      </c>
    </row>
    <row r="242" spans="1:39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AL242">
        <v>0</v>
      </c>
      <c r="AM242">
        <v>1</v>
      </c>
    </row>
    <row r="243" spans="1:39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AL243">
        <v>0</v>
      </c>
      <c r="AM243">
        <v>0</v>
      </c>
    </row>
    <row r="244" spans="1:39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AL244">
        <v>0</v>
      </c>
      <c r="AM244">
        <v>0</v>
      </c>
    </row>
    <row r="245" spans="1:39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AL245">
        <v>0</v>
      </c>
      <c r="AM245">
        <v>0</v>
      </c>
    </row>
    <row r="246" spans="1:39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AL246">
        <v>0</v>
      </c>
      <c r="AM246">
        <v>0</v>
      </c>
    </row>
    <row r="247" spans="1:39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AL247">
        <v>0</v>
      </c>
      <c r="AM247">
        <v>0</v>
      </c>
    </row>
    <row r="248" spans="1:39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AL248">
        <v>0</v>
      </c>
      <c r="AM248">
        <v>0</v>
      </c>
    </row>
    <row r="249" spans="1:39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AL249">
        <v>0</v>
      </c>
      <c r="AM249">
        <v>0</v>
      </c>
    </row>
    <row r="250" spans="1:39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AL250">
        <v>0</v>
      </c>
      <c r="AM250">
        <v>0</v>
      </c>
    </row>
    <row r="251" spans="1:39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AL251">
        <v>0</v>
      </c>
      <c r="AM251">
        <v>0</v>
      </c>
    </row>
    <row r="252" spans="1:39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AL252">
        <v>1</v>
      </c>
      <c r="AM252">
        <v>0</v>
      </c>
    </row>
    <row r="253" spans="1:39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AL253">
        <v>0</v>
      </c>
      <c r="AM253">
        <v>0</v>
      </c>
    </row>
    <row r="254" spans="1:39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AL254">
        <v>0</v>
      </c>
      <c r="AM254">
        <v>1</v>
      </c>
    </row>
    <row r="255" spans="1:39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AL255">
        <v>0</v>
      </c>
      <c r="AM255">
        <v>0</v>
      </c>
    </row>
    <row r="256" spans="1:39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AL256">
        <v>0</v>
      </c>
      <c r="AM256">
        <v>0</v>
      </c>
    </row>
    <row r="257" spans="1:39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AL257">
        <v>0</v>
      </c>
      <c r="AM257">
        <v>0</v>
      </c>
    </row>
    <row r="258" spans="1:39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AL258">
        <v>0</v>
      </c>
      <c r="AM258">
        <v>0</v>
      </c>
    </row>
    <row r="259" spans="1:39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AL259">
        <v>0</v>
      </c>
      <c r="AM259">
        <v>1</v>
      </c>
    </row>
    <row r="260" spans="1:39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AL260">
        <v>0</v>
      </c>
      <c r="AM260">
        <v>0</v>
      </c>
    </row>
    <row r="261" spans="1:39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AL261">
        <v>0</v>
      </c>
      <c r="AM261">
        <v>0</v>
      </c>
    </row>
    <row r="262" spans="1:39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AL262">
        <v>0</v>
      </c>
      <c r="AM262">
        <v>0</v>
      </c>
    </row>
    <row r="263" spans="1:39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AL263">
        <v>0</v>
      </c>
      <c r="AM263">
        <v>0</v>
      </c>
    </row>
    <row r="264" spans="1:39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AL264">
        <v>0</v>
      </c>
      <c r="AM264">
        <v>0</v>
      </c>
    </row>
    <row r="265" spans="1:39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AL265">
        <v>0</v>
      </c>
      <c r="AM265">
        <v>0</v>
      </c>
    </row>
    <row r="266" spans="1:39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AL266">
        <v>0</v>
      </c>
      <c r="AM266">
        <v>0</v>
      </c>
    </row>
    <row r="267" spans="1:39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AL267">
        <v>0</v>
      </c>
      <c r="AM267">
        <v>0</v>
      </c>
    </row>
    <row r="268" spans="1:39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AL268">
        <v>0</v>
      </c>
      <c r="AM268">
        <v>0</v>
      </c>
    </row>
    <row r="269" spans="1:39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AL269">
        <v>0</v>
      </c>
      <c r="AM269">
        <v>0</v>
      </c>
    </row>
    <row r="270" spans="1:39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AL270">
        <v>0</v>
      </c>
      <c r="AM270">
        <v>0</v>
      </c>
    </row>
    <row r="271" spans="1:39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AL271">
        <v>0</v>
      </c>
      <c r="AM271">
        <v>0</v>
      </c>
    </row>
    <row r="272" spans="1:39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AL272">
        <v>0</v>
      </c>
      <c r="AM272">
        <v>0</v>
      </c>
    </row>
    <row r="273" spans="1:39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AL273">
        <v>0</v>
      </c>
      <c r="AM273">
        <v>0</v>
      </c>
    </row>
    <row r="274" spans="1:39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AL274">
        <v>0</v>
      </c>
      <c r="AM274">
        <v>0</v>
      </c>
    </row>
    <row r="275" spans="1:39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AL275">
        <v>0</v>
      </c>
      <c r="AM275">
        <v>0</v>
      </c>
    </row>
    <row r="276" spans="1:39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AL276">
        <v>0</v>
      </c>
      <c r="AM276">
        <v>0</v>
      </c>
    </row>
    <row r="277" spans="1:39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AL277">
        <v>0</v>
      </c>
      <c r="AM277">
        <v>0</v>
      </c>
    </row>
    <row r="278" spans="1:39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AL278">
        <v>0</v>
      </c>
      <c r="AM278">
        <v>0</v>
      </c>
    </row>
    <row r="279" spans="1:39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AL279">
        <v>0</v>
      </c>
      <c r="AM279">
        <v>0</v>
      </c>
    </row>
    <row r="280" spans="1:39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AL280">
        <v>0</v>
      </c>
      <c r="AM280">
        <v>0</v>
      </c>
    </row>
    <row r="281" spans="1:39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AL281">
        <v>0</v>
      </c>
      <c r="AM281">
        <v>0</v>
      </c>
    </row>
    <row r="282" spans="1:39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AL282">
        <v>0</v>
      </c>
      <c r="AM282">
        <v>0</v>
      </c>
    </row>
    <row r="283" spans="1:39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AL283">
        <v>0</v>
      </c>
      <c r="AM283">
        <v>0</v>
      </c>
    </row>
    <row r="284" spans="1:39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AL284">
        <v>0</v>
      </c>
      <c r="AM284">
        <v>0</v>
      </c>
    </row>
    <row r="285" spans="1:39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AL285">
        <v>0</v>
      </c>
      <c r="AM285">
        <v>0</v>
      </c>
    </row>
    <row r="286" spans="1:39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AL286">
        <v>0</v>
      </c>
      <c r="AM286">
        <v>0</v>
      </c>
    </row>
    <row r="287" spans="1:39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AL287">
        <v>0</v>
      </c>
      <c r="AM287">
        <v>0</v>
      </c>
    </row>
    <row r="288" spans="1:39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AL288">
        <v>0</v>
      </c>
      <c r="AM288">
        <v>0</v>
      </c>
    </row>
    <row r="289" spans="1:39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AL289">
        <v>0</v>
      </c>
      <c r="AM289">
        <v>0</v>
      </c>
    </row>
    <row r="290" spans="1:39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AL290">
        <v>0</v>
      </c>
      <c r="AM290">
        <v>0</v>
      </c>
    </row>
    <row r="291" spans="1:39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AL291">
        <v>0</v>
      </c>
      <c r="AM291">
        <v>0</v>
      </c>
    </row>
    <row r="292" spans="1:39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AL292">
        <v>0</v>
      </c>
      <c r="AM292">
        <v>0</v>
      </c>
    </row>
    <row r="293" spans="1:39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AL293">
        <v>0</v>
      </c>
      <c r="AM293">
        <v>0</v>
      </c>
    </row>
    <row r="294" spans="1:39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AL294">
        <v>0</v>
      </c>
      <c r="AM294">
        <v>0</v>
      </c>
    </row>
    <row r="295" spans="1:39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AL295">
        <v>0</v>
      </c>
      <c r="AM295">
        <v>0</v>
      </c>
    </row>
    <row r="296" spans="1:39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AL296">
        <v>0</v>
      </c>
      <c r="AM296">
        <v>0</v>
      </c>
    </row>
    <row r="297" spans="1:39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AL297">
        <v>0</v>
      </c>
      <c r="AM297">
        <v>0</v>
      </c>
    </row>
    <row r="298" spans="1:39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AL298">
        <v>0</v>
      </c>
      <c r="AM298">
        <v>0</v>
      </c>
    </row>
    <row r="299" spans="1:39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AL299">
        <v>0</v>
      </c>
      <c r="AM299">
        <v>0</v>
      </c>
    </row>
    <row r="300" spans="1:39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AL300">
        <v>0</v>
      </c>
      <c r="AM300">
        <v>0</v>
      </c>
    </row>
    <row r="301" spans="1:39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AL301">
        <v>1</v>
      </c>
      <c r="AM301">
        <v>0</v>
      </c>
    </row>
    <row r="302" spans="1:39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AL302">
        <v>0</v>
      </c>
      <c r="AM302">
        <v>0</v>
      </c>
    </row>
    <row r="303" spans="1:39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AL303">
        <v>0</v>
      </c>
      <c r="AM303">
        <v>0</v>
      </c>
    </row>
    <row r="304" spans="1:39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AL304">
        <v>1</v>
      </c>
      <c r="AM304">
        <v>1</v>
      </c>
    </row>
    <row r="305" spans="1:39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AL305">
        <v>0</v>
      </c>
      <c r="AM305">
        <v>0</v>
      </c>
    </row>
    <row r="306" spans="1:39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AL306">
        <v>0</v>
      </c>
      <c r="AM306">
        <v>0</v>
      </c>
    </row>
    <row r="307" spans="1:39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AL307">
        <v>0</v>
      </c>
      <c r="AM307">
        <v>0</v>
      </c>
    </row>
    <row r="308" spans="1:39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AL308">
        <v>0</v>
      </c>
      <c r="AM308">
        <v>1</v>
      </c>
    </row>
    <row r="309" spans="1:39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AL309">
        <v>1</v>
      </c>
      <c r="AM309">
        <v>0</v>
      </c>
    </row>
    <row r="310" spans="1:39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AL310">
        <v>0</v>
      </c>
      <c r="AM310">
        <v>0</v>
      </c>
    </row>
    <row r="311" spans="1:39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AL311">
        <v>0</v>
      </c>
      <c r="AM311">
        <v>0</v>
      </c>
    </row>
    <row r="312" spans="1:39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AL312">
        <v>0</v>
      </c>
      <c r="AM312">
        <v>0</v>
      </c>
    </row>
    <row r="313" spans="1:39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AL313">
        <v>0</v>
      </c>
      <c r="AM313">
        <v>0</v>
      </c>
    </row>
    <row r="314" spans="1:39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AL314">
        <v>0</v>
      </c>
      <c r="AM314">
        <v>0</v>
      </c>
    </row>
    <row r="315" spans="1:39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AL315">
        <v>0</v>
      </c>
      <c r="AM315">
        <v>0</v>
      </c>
    </row>
    <row r="316" spans="1:39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AL316">
        <v>0</v>
      </c>
      <c r="AM316">
        <v>0</v>
      </c>
    </row>
    <row r="317" spans="1:39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AL317">
        <v>0</v>
      </c>
      <c r="AM317">
        <v>0</v>
      </c>
    </row>
    <row r="318" spans="1:39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AL318">
        <v>0</v>
      </c>
      <c r="AM318">
        <v>0</v>
      </c>
    </row>
    <row r="319" spans="1:39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AL319">
        <v>0</v>
      </c>
      <c r="AM319">
        <v>0</v>
      </c>
    </row>
    <row r="320" spans="1:39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AL320">
        <v>0</v>
      </c>
      <c r="AM320">
        <v>0</v>
      </c>
    </row>
    <row r="321" spans="1:39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AL321">
        <v>0</v>
      </c>
      <c r="AM321">
        <v>0</v>
      </c>
    </row>
    <row r="322" spans="1:39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AL322">
        <v>0</v>
      </c>
      <c r="AM322">
        <v>0</v>
      </c>
    </row>
    <row r="323" spans="1:39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AL323">
        <v>0</v>
      </c>
      <c r="AM323">
        <v>1</v>
      </c>
    </row>
    <row r="324" spans="1:39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AL324">
        <v>0</v>
      </c>
      <c r="AM324">
        <v>0</v>
      </c>
    </row>
    <row r="325" spans="1:39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AL325">
        <v>0</v>
      </c>
      <c r="AM325">
        <v>0</v>
      </c>
    </row>
    <row r="326" spans="1:39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AL326">
        <v>0</v>
      </c>
      <c r="AM326">
        <v>0</v>
      </c>
    </row>
    <row r="327" spans="1:39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AL327">
        <v>0</v>
      </c>
      <c r="AM327">
        <v>0</v>
      </c>
    </row>
    <row r="328" spans="1:39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AL328">
        <v>0</v>
      </c>
      <c r="AM328">
        <v>0</v>
      </c>
    </row>
    <row r="329" spans="1:39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AL329">
        <v>0</v>
      </c>
      <c r="AM329">
        <v>0</v>
      </c>
    </row>
    <row r="330" spans="1:39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AL330">
        <v>0</v>
      </c>
      <c r="AM330">
        <v>0</v>
      </c>
    </row>
    <row r="331" spans="1:39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AL331">
        <v>0</v>
      </c>
      <c r="AM331">
        <v>0</v>
      </c>
    </row>
    <row r="332" spans="1:39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AL332">
        <v>1</v>
      </c>
      <c r="AM332">
        <v>0</v>
      </c>
    </row>
    <row r="333" spans="1:39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AL333">
        <v>0</v>
      </c>
      <c r="AM333">
        <v>0</v>
      </c>
    </row>
    <row r="334" spans="1:39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AL334">
        <v>0</v>
      </c>
      <c r="AM334">
        <v>0</v>
      </c>
    </row>
    <row r="335" spans="1:39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AL335">
        <v>0</v>
      </c>
      <c r="AM335">
        <v>0</v>
      </c>
    </row>
    <row r="336" spans="1:39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AL336">
        <v>1</v>
      </c>
      <c r="AM336">
        <v>1</v>
      </c>
    </row>
    <row r="337" spans="1:39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AL337">
        <v>1</v>
      </c>
      <c r="AM337">
        <v>0</v>
      </c>
    </row>
    <row r="338" spans="1:39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AL338">
        <v>0</v>
      </c>
      <c r="AM338">
        <v>0</v>
      </c>
    </row>
    <row r="339" spans="1:39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AL339">
        <v>0</v>
      </c>
      <c r="AM339">
        <v>0</v>
      </c>
    </row>
    <row r="340" spans="1:39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AL340">
        <v>0</v>
      </c>
      <c r="AM340">
        <v>0</v>
      </c>
    </row>
    <row r="341" spans="1:39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AL341">
        <v>0</v>
      </c>
      <c r="AM341">
        <v>0</v>
      </c>
    </row>
    <row r="342" spans="1:39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AL342">
        <v>0</v>
      </c>
      <c r="AM342">
        <v>0</v>
      </c>
    </row>
    <row r="343" spans="1:39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AL343">
        <v>0</v>
      </c>
      <c r="AM343">
        <v>0</v>
      </c>
    </row>
    <row r="344" spans="1:39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AL344">
        <v>0</v>
      </c>
      <c r="AM344">
        <v>0</v>
      </c>
    </row>
    <row r="345" spans="1:39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AL345">
        <v>0</v>
      </c>
      <c r="AM345">
        <v>0</v>
      </c>
    </row>
    <row r="346" spans="1:39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AL346">
        <v>0</v>
      </c>
      <c r="AM346">
        <v>0</v>
      </c>
    </row>
    <row r="347" spans="1:39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AL347">
        <v>0</v>
      </c>
      <c r="AM347">
        <v>0</v>
      </c>
    </row>
    <row r="348" spans="1:39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AL348">
        <v>0</v>
      </c>
      <c r="AM348">
        <v>0</v>
      </c>
    </row>
    <row r="349" spans="1:39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AL349">
        <v>0</v>
      </c>
      <c r="AM349">
        <v>0</v>
      </c>
    </row>
    <row r="350" spans="1:39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AL350">
        <v>0</v>
      </c>
      <c r="AM350">
        <v>0</v>
      </c>
    </row>
    <row r="351" spans="1:39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AL351">
        <v>0</v>
      </c>
      <c r="AM351">
        <v>0</v>
      </c>
    </row>
    <row r="352" spans="1:39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AL352">
        <v>0</v>
      </c>
      <c r="AM352">
        <v>0</v>
      </c>
    </row>
    <row r="353" spans="1:39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AL353">
        <v>0</v>
      </c>
      <c r="AM353">
        <v>0</v>
      </c>
    </row>
    <row r="354" spans="1:39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AL354">
        <v>0</v>
      </c>
      <c r="AM354">
        <v>0</v>
      </c>
    </row>
    <row r="355" spans="1:39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AL355">
        <v>0</v>
      </c>
      <c r="AM355">
        <v>0</v>
      </c>
    </row>
    <row r="356" spans="1:39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AL356">
        <v>0</v>
      </c>
      <c r="AM356">
        <v>0</v>
      </c>
    </row>
    <row r="357" spans="1:39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AL357">
        <v>0</v>
      </c>
      <c r="AM357">
        <v>0</v>
      </c>
    </row>
    <row r="358" spans="1:39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AL358">
        <v>0</v>
      </c>
      <c r="AM358">
        <v>0</v>
      </c>
    </row>
    <row r="359" spans="1:39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AL359">
        <v>0</v>
      </c>
      <c r="AM359">
        <v>0</v>
      </c>
    </row>
    <row r="360" spans="1:39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AL360">
        <v>0</v>
      </c>
      <c r="AM360">
        <v>0</v>
      </c>
    </row>
    <row r="361" spans="1:39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AL361">
        <v>0</v>
      </c>
      <c r="AM361">
        <v>0</v>
      </c>
    </row>
    <row r="362" spans="1:39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AL362">
        <v>0</v>
      </c>
      <c r="AM362">
        <v>0</v>
      </c>
    </row>
    <row r="363" spans="1:39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AL363">
        <v>0</v>
      </c>
      <c r="AM363">
        <v>0</v>
      </c>
    </row>
    <row r="364" spans="1:39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AL364">
        <v>0</v>
      </c>
      <c r="AM364">
        <v>1</v>
      </c>
    </row>
    <row r="365" spans="1:39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AL365">
        <v>0</v>
      </c>
      <c r="AM365">
        <v>0</v>
      </c>
    </row>
    <row r="366" spans="1:39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AL366">
        <v>0</v>
      </c>
      <c r="AM366">
        <v>0</v>
      </c>
    </row>
    <row r="367" spans="1:39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AL367">
        <v>0</v>
      </c>
      <c r="AM367">
        <v>0</v>
      </c>
    </row>
    <row r="368" spans="1:39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AL368">
        <v>0</v>
      </c>
      <c r="AM368">
        <v>0</v>
      </c>
    </row>
    <row r="369" spans="1:39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AL369">
        <v>0</v>
      </c>
      <c r="AM369">
        <v>0</v>
      </c>
    </row>
    <row r="370" spans="1:39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AL370">
        <v>0</v>
      </c>
      <c r="AM370">
        <v>0</v>
      </c>
    </row>
    <row r="371" spans="1:39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AL371">
        <v>0</v>
      </c>
      <c r="AM371">
        <v>0</v>
      </c>
    </row>
    <row r="372" spans="1:39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AL372">
        <v>0</v>
      </c>
      <c r="AM372">
        <v>0</v>
      </c>
    </row>
    <row r="373" spans="1:39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AL373">
        <v>0</v>
      </c>
      <c r="AM373">
        <v>1</v>
      </c>
    </row>
    <row r="374" spans="1:39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AL374">
        <v>0</v>
      </c>
      <c r="AM374">
        <v>0</v>
      </c>
    </row>
    <row r="375" spans="1:39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AL375">
        <v>0</v>
      </c>
      <c r="AM375">
        <v>0</v>
      </c>
    </row>
    <row r="376" spans="1:39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AL376">
        <v>0</v>
      </c>
      <c r="AM376">
        <v>0</v>
      </c>
    </row>
    <row r="377" spans="1:39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AL377">
        <v>0</v>
      </c>
      <c r="AM377">
        <v>0</v>
      </c>
    </row>
    <row r="378" spans="1:39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AL378">
        <v>0</v>
      </c>
      <c r="AM378">
        <v>0</v>
      </c>
    </row>
    <row r="379" spans="1:39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AL379">
        <v>0</v>
      </c>
      <c r="AM379">
        <v>0</v>
      </c>
    </row>
    <row r="380" spans="1:39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AL380">
        <v>0</v>
      </c>
      <c r="AM380">
        <v>0</v>
      </c>
    </row>
    <row r="381" spans="1:39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AL381">
        <v>0</v>
      </c>
      <c r="AM381">
        <v>0</v>
      </c>
    </row>
    <row r="382" spans="1:39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AL382">
        <v>0</v>
      </c>
      <c r="AM382">
        <v>0</v>
      </c>
    </row>
    <row r="383" spans="1:39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AL383">
        <v>0</v>
      </c>
      <c r="AM383">
        <v>0</v>
      </c>
    </row>
    <row r="384" spans="1:39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AL384">
        <v>0</v>
      </c>
      <c r="AM384">
        <v>0</v>
      </c>
    </row>
    <row r="385" spans="1:39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AL385">
        <v>0</v>
      </c>
      <c r="AM385">
        <v>1</v>
      </c>
    </row>
    <row r="386" spans="1:39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AL386">
        <v>0</v>
      </c>
      <c r="AM386">
        <v>0</v>
      </c>
    </row>
    <row r="387" spans="1:39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AL387">
        <v>0</v>
      </c>
      <c r="AM387">
        <v>0</v>
      </c>
    </row>
    <row r="388" spans="1:39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AL388">
        <v>0</v>
      </c>
      <c r="AM388">
        <v>1</v>
      </c>
    </row>
    <row r="389" spans="1:39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AL389">
        <v>0</v>
      </c>
      <c r="AM389">
        <v>1</v>
      </c>
    </row>
    <row r="390" spans="1:39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AL390">
        <v>0</v>
      </c>
      <c r="AM390">
        <v>0</v>
      </c>
    </row>
    <row r="391" spans="1:39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AL391">
        <v>0</v>
      </c>
      <c r="AM391">
        <v>0</v>
      </c>
    </row>
    <row r="392" spans="1:39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AL392">
        <v>0</v>
      </c>
      <c r="AM392">
        <v>0</v>
      </c>
    </row>
    <row r="393" spans="1:39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AL393">
        <v>0</v>
      </c>
      <c r="AM393">
        <v>0</v>
      </c>
    </row>
    <row r="394" spans="1:39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AL394">
        <v>0</v>
      </c>
      <c r="AM394">
        <v>0</v>
      </c>
    </row>
    <row r="395" spans="1:39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AL395">
        <v>0</v>
      </c>
      <c r="AM395">
        <v>0</v>
      </c>
    </row>
    <row r="396" spans="1:39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AL396">
        <v>0</v>
      </c>
      <c r="AM396">
        <v>0</v>
      </c>
    </row>
    <row r="397" spans="1:39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AL397">
        <v>0</v>
      </c>
      <c r="AM397">
        <v>0</v>
      </c>
    </row>
    <row r="398" spans="1:39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AL398">
        <v>0</v>
      </c>
      <c r="AM398">
        <v>0</v>
      </c>
    </row>
    <row r="399" spans="1:39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AL399">
        <v>0</v>
      </c>
      <c r="AM399">
        <v>0</v>
      </c>
    </row>
    <row r="400" spans="1:39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AL400">
        <v>0</v>
      </c>
      <c r="AM400">
        <v>0</v>
      </c>
    </row>
    <row r="401" spans="1:39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AL401">
        <v>0</v>
      </c>
      <c r="AM401">
        <v>0</v>
      </c>
    </row>
    <row r="402" spans="1:39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AL402">
        <v>0</v>
      </c>
      <c r="AM402">
        <v>0</v>
      </c>
    </row>
    <row r="403" spans="1:39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AL403">
        <v>0</v>
      </c>
      <c r="AM403">
        <v>0</v>
      </c>
    </row>
    <row r="404" spans="1:39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AL404">
        <v>0</v>
      </c>
      <c r="AM404">
        <v>0</v>
      </c>
    </row>
    <row r="405" spans="1:39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AL405">
        <v>0</v>
      </c>
      <c r="AM405">
        <v>0</v>
      </c>
    </row>
    <row r="406" spans="1:39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AL406">
        <v>0</v>
      </c>
      <c r="AM406">
        <v>0</v>
      </c>
    </row>
    <row r="407" spans="1:39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AL407">
        <v>0</v>
      </c>
      <c r="AM407">
        <v>0</v>
      </c>
    </row>
    <row r="408" spans="1:39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AL408">
        <v>0</v>
      </c>
      <c r="AM408">
        <v>0</v>
      </c>
    </row>
    <row r="409" spans="1:39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AL409">
        <v>0</v>
      </c>
      <c r="AM409">
        <v>0</v>
      </c>
    </row>
    <row r="410" spans="1:39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AL410">
        <v>0</v>
      </c>
      <c r="AM410">
        <v>0</v>
      </c>
    </row>
    <row r="411" spans="1:39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AL411">
        <v>0</v>
      </c>
      <c r="AM411">
        <v>0</v>
      </c>
    </row>
    <row r="412" spans="1:39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AL412">
        <v>1</v>
      </c>
      <c r="AM412">
        <v>0</v>
      </c>
    </row>
    <row r="413" spans="1:39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AL413">
        <v>0</v>
      </c>
      <c r="AM413">
        <v>0</v>
      </c>
    </row>
    <row r="414" spans="1:39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AL414">
        <v>0</v>
      </c>
      <c r="AM414">
        <v>0</v>
      </c>
    </row>
    <row r="415" spans="1:39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AL415">
        <v>0</v>
      </c>
      <c r="AM415">
        <v>0</v>
      </c>
    </row>
    <row r="416" spans="1:39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AL416">
        <v>0</v>
      </c>
      <c r="AM416">
        <v>0</v>
      </c>
    </row>
    <row r="417" spans="1:39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AL417">
        <v>0</v>
      </c>
      <c r="AM417">
        <v>0</v>
      </c>
    </row>
    <row r="418" spans="1:39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AL418">
        <v>0</v>
      </c>
      <c r="AM418">
        <v>0</v>
      </c>
    </row>
    <row r="419" spans="1:39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AL419">
        <v>0</v>
      </c>
      <c r="AM419">
        <v>0</v>
      </c>
    </row>
    <row r="420" spans="1:39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AL420">
        <v>0</v>
      </c>
      <c r="AM420">
        <v>0</v>
      </c>
    </row>
    <row r="421" spans="1:39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AL421">
        <v>0</v>
      </c>
      <c r="AM421">
        <v>0</v>
      </c>
    </row>
    <row r="422" spans="1:39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AL422">
        <v>0</v>
      </c>
      <c r="AM422">
        <v>0</v>
      </c>
    </row>
    <row r="423" spans="1:39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AL423">
        <v>0</v>
      </c>
      <c r="AM423">
        <v>0</v>
      </c>
    </row>
    <row r="424" spans="1:39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AL424">
        <v>0</v>
      </c>
      <c r="AM424">
        <v>0</v>
      </c>
    </row>
    <row r="425" spans="1:39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AL425">
        <v>0</v>
      </c>
      <c r="AM425">
        <v>1</v>
      </c>
    </row>
    <row r="426" spans="1:39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AL426">
        <v>0</v>
      </c>
      <c r="AM426">
        <v>0</v>
      </c>
    </row>
    <row r="427" spans="1:39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AL427">
        <v>0</v>
      </c>
      <c r="AM427">
        <v>0</v>
      </c>
    </row>
    <row r="428" spans="1:39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AL428">
        <v>0</v>
      </c>
      <c r="AM428">
        <v>0</v>
      </c>
    </row>
    <row r="429" spans="1:39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AL429">
        <v>0</v>
      </c>
      <c r="AM429">
        <v>0</v>
      </c>
    </row>
    <row r="430" spans="1:39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AL430">
        <v>0</v>
      </c>
      <c r="AM430">
        <v>0</v>
      </c>
    </row>
    <row r="431" spans="1:39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AL431">
        <v>0</v>
      </c>
      <c r="AM431">
        <v>0</v>
      </c>
    </row>
    <row r="432" spans="1:39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AL432">
        <v>0</v>
      </c>
      <c r="AM432">
        <v>0</v>
      </c>
    </row>
    <row r="433" spans="1:39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AL433">
        <v>0</v>
      </c>
      <c r="AM433">
        <v>0</v>
      </c>
    </row>
    <row r="434" spans="1:39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AL434">
        <v>0</v>
      </c>
      <c r="AM434">
        <v>0</v>
      </c>
    </row>
    <row r="435" spans="1:39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AL435">
        <v>0</v>
      </c>
      <c r="AM435">
        <v>0</v>
      </c>
    </row>
    <row r="436" spans="1:39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AL436">
        <v>0</v>
      </c>
      <c r="AM436">
        <v>0</v>
      </c>
    </row>
    <row r="437" spans="1:39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AL437">
        <v>0</v>
      </c>
      <c r="AM437">
        <v>0</v>
      </c>
    </row>
    <row r="438" spans="1:39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AL438">
        <v>0</v>
      </c>
      <c r="AM438">
        <v>0</v>
      </c>
    </row>
    <row r="439" spans="1:39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AL439">
        <v>0</v>
      </c>
      <c r="AM439">
        <v>0</v>
      </c>
    </row>
    <row r="440" spans="1:39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AL440">
        <v>0</v>
      </c>
      <c r="AM440">
        <v>0</v>
      </c>
    </row>
    <row r="441" spans="1:39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AL441">
        <v>1</v>
      </c>
      <c r="AM441">
        <v>0</v>
      </c>
    </row>
    <row r="442" spans="1:39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AL442">
        <v>0</v>
      </c>
      <c r="AM442">
        <v>0</v>
      </c>
    </row>
    <row r="443" spans="1:39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AL443">
        <v>0</v>
      </c>
      <c r="AM443">
        <v>0</v>
      </c>
    </row>
    <row r="444" spans="1:39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AL444">
        <v>0</v>
      </c>
      <c r="AM444">
        <v>0</v>
      </c>
    </row>
    <row r="445" spans="1:39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AL445">
        <v>0</v>
      </c>
      <c r="AM445">
        <v>0</v>
      </c>
    </row>
    <row r="446" spans="1:39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AL446">
        <v>0</v>
      </c>
      <c r="AM446">
        <v>0</v>
      </c>
    </row>
    <row r="447" spans="1:39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AL447">
        <v>0</v>
      </c>
      <c r="AM447">
        <v>0</v>
      </c>
    </row>
    <row r="448" spans="1:39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AL448">
        <v>0</v>
      </c>
      <c r="AM448">
        <v>0</v>
      </c>
    </row>
    <row r="449" spans="1:39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AL449">
        <v>0</v>
      </c>
      <c r="AM449">
        <v>0</v>
      </c>
    </row>
    <row r="450" spans="1:39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AL450">
        <v>0</v>
      </c>
      <c r="AM450">
        <v>0</v>
      </c>
    </row>
    <row r="451" spans="1:39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AL451">
        <v>0</v>
      </c>
      <c r="AM451">
        <v>0</v>
      </c>
    </row>
    <row r="452" spans="1:39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AL452">
        <v>0</v>
      </c>
      <c r="AM452">
        <v>0</v>
      </c>
    </row>
    <row r="453" spans="1:39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AL453">
        <v>0</v>
      </c>
      <c r="AM453">
        <v>1</v>
      </c>
    </row>
    <row r="454" spans="1:39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AL454">
        <v>0</v>
      </c>
      <c r="AM454">
        <v>0</v>
      </c>
    </row>
    <row r="455" spans="1:39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AL455">
        <v>0</v>
      </c>
      <c r="AM455">
        <v>0</v>
      </c>
    </row>
    <row r="456" spans="1:39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AL456">
        <v>0</v>
      </c>
      <c r="AM456">
        <v>1</v>
      </c>
    </row>
    <row r="457" spans="1:39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AL457">
        <v>0</v>
      </c>
      <c r="AM457">
        <v>0</v>
      </c>
    </row>
    <row r="458" spans="1:39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AL458">
        <v>0</v>
      </c>
      <c r="AM458">
        <v>1</v>
      </c>
    </row>
    <row r="459" spans="1:39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AL459">
        <v>0</v>
      </c>
      <c r="AM459">
        <v>0</v>
      </c>
    </row>
    <row r="460" spans="1:39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AL460">
        <v>0</v>
      </c>
      <c r="AM460">
        <v>0</v>
      </c>
    </row>
    <row r="461" spans="1:39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AL461">
        <v>0</v>
      </c>
      <c r="AM461">
        <v>0</v>
      </c>
    </row>
    <row r="462" spans="1:39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AL462">
        <v>0</v>
      </c>
      <c r="AM462">
        <v>0</v>
      </c>
    </row>
    <row r="463" spans="1:39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AL463">
        <v>0</v>
      </c>
      <c r="AM463">
        <v>0</v>
      </c>
    </row>
    <row r="464" spans="1:39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AL464">
        <v>0</v>
      </c>
      <c r="AM464">
        <v>0</v>
      </c>
    </row>
    <row r="465" spans="1:39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AL465">
        <v>0</v>
      </c>
      <c r="AM465">
        <v>0</v>
      </c>
    </row>
    <row r="466" spans="1:39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AL466">
        <v>0</v>
      </c>
      <c r="AM466">
        <v>0</v>
      </c>
    </row>
    <row r="467" spans="1:39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AL467">
        <v>0</v>
      </c>
      <c r="AM467">
        <v>0</v>
      </c>
    </row>
    <row r="468" spans="1:39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AL468">
        <v>0</v>
      </c>
      <c r="AM468">
        <v>0</v>
      </c>
    </row>
    <row r="469" spans="1:39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AL469">
        <v>0</v>
      </c>
      <c r="AM469">
        <v>0</v>
      </c>
    </row>
    <row r="470" spans="1:39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AL470">
        <v>0</v>
      </c>
      <c r="AM470">
        <v>0</v>
      </c>
    </row>
    <row r="471" spans="1:39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AL471">
        <v>0</v>
      </c>
      <c r="AM471">
        <v>0</v>
      </c>
    </row>
    <row r="472" spans="1:39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AL472">
        <v>0</v>
      </c>
      <c r="AM472">
        <v>0</v>
      </c>
    </row>
    <row r="473" spans="1:39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AL473">
        <v>0</v>
      </c>
      <c r="AM473">
        <v>0</v>
      </c>
    </row>
    <row r="474" spans="1:39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AL474">
        <v>0</v>
      </c>
      <c r="AM474">
        <v>0</v>
      </c>
    </row>
    <row r="475" spans="1:39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AL475">
        <v>0</v>
      </c>
      <c r="AM475">
        <v>0</v>
      </c>
    </row>
    <row r="476" spans="1:39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AL476">
        <v>0</v>
      </c>
      <c r="AM476">
        <v>0</v>
      </c>
    </row>
    <row r="477" spans="1:39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AL477">
        <v>0</v>
      </c>
      <c r="AM477">
        <v>0</v>
      </c>
    </row>
    <row r="478" spans="1:39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AL478">
        <v>0</v>
      </c>
      <c r="AM478">
        <v>0</v>
      </c>
    </row>
    <row r="479" spans="1:39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AL479">
        <v>0</v>
      </c>
      <c r="AM479">
        <v>1</v>
      </c>
    </row>
    <row r="480" spans="1:39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AL480">
        <v>0</v>
      </c>
      <c r="AM480">
        <v>0</v>
      </c>
    </row>
    <row r="481" spans="1:39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AL481">
        <v>0</v>
      </c>
      <c r="AM481">
        <v>0</v>
      </c>
    </row>
    <row r="482" spans="1:39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AL482">
        <v>0</v>
      </c>
      <c r="AM482">
        <v>0</v>
      </c>
    </row>
    <row r="483" spans="1:39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AL483">
        <v>0</v>
      </c>
      <c r="AM483">
        <v>0</v>
      </c>
    </row>
    <row r="484" spans="1:39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AL484">
        <v>0</v>
      </c>
      <c r="AM484">
        <v>0</v>
      </c>
    </row>
    <row r="485" spans="1:39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AL485">
        <v>0</v>
      </c>
      <c r="AM485">
        <v>0</v>
      </c>
    </row>
    <row r="486" spans="1:39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AL486">
        <v>0</v>
      </c>
      <c r="AM486">
        <v>0</v>
      </c>
    </row>
    <row r="487" spans="1:39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AL487">
        <v>0</v>
      </c>
      <c r="AM487">
        <v>0</v>
      </c>
    </row>
    <row r="488" spans="1:39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AL488">
        <v>0</v>
      </c>
      <c r="AM488">
        <v>0</v>
      </c>
    </row>
    <row r="489" spans="1:39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AL489">
        <v>0</v>
      </c>
      <c r="AM489">
        <v>0</v>
      </c>
    </row>
    <row r="490" spans="1:39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AL490">
        <v>0</v>
      </c>
      <c r="AM490">
        <v>1</v>
      </c>
    </row>
    <row r="491" spans="1:39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AL491">
        <v>0</v>
      </c>
      <c r="AM491">
        <v>0</v>
      </c>
    </row>
    <row r="492" spans="1:39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AL492">
        <v>0</v>
      </c>
      <c r="AM492">
        <v>0</v>
      </c>
    </row>
    <row r="493" spans="1:39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AL493">
        <v>0</v>
      </c>
      <c r="AM493">
        <v>0</v>
      </c>
    </row>
    <row r="494" spans="1:39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AL494">
        <v>0</v>
      </c>
      <c r="AM494">
        <v>0</v>
      </c>
    </row>
    <row r="495" spans="1:39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AL495">
        <v>0</v>
      </c>
      <c r="AM495">
        <v>0</v>
      </c>
    </row>
    <row r="496" spans="1:39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AL496">
        <v>0</v>
      </c>
      <c r="AM496">
        <v>0</v>
      </c>
    </row>
    <row r="497" spans="1:39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AL497">
        <v>0</v>
      </c>
      <c r="AM497">
        <v>0</v>
      </c>
    </row>
    <row r="498" spans="1:39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AL498">
        <v>0</v>
      </c>
      <c r="AM498">
        <v>0</v>
      </c>
    </row>
    <row r="499" spans="1:39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AL499">
        <v>0</v>
      </c>
      <c r="AM499">
        <v>0</v>
      </c>
    </row>
    <row r="500" spans="1:39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AL500">
        <v>0</v>
      </c>
      <c r="AM500">
        <v>0</v>
      </c>
    </row>
    <row r="501" spans="1:39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AL501">
        <v>0</v>
      </c>
      <c r="AM501">
        <v>0</v>
      </c>
    </row>
    <row r="502" spans="1:39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AL502">
        <v>1</v>
      </c>
      <c r="AM502">
        <v>0</v>
      </c>
    </row>
    <row r="503" spans="1:39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AL503">
        <v>0</v>
      </c>
      <c r="AM503">
        <v>0</v>
      </c>
    </row>
    <row r="504" spans="1:39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AL504">
        <v>0</v>
      </c>
      <c r="AM504">
        <v>0</v>
      </c>
    </row>
    <row r="505" spans="1:39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AL505">
        <v>0</v>
      </c>
      <c r="AM505">
        <v>0</v>
      </c>
    </row>
    <row r="506" spans="1:39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AL506">
        <v>0</v>
      </c>
      <c r="AM506">
        <v>0</v>
      </c>
    </row>
    <row r="507" spans="1:39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AL507">
        <v>0</v>
      </c>
      <c r="AM507">
        <v>0</v>
      </c>
    </row>
    <row r="508" spans="1:39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AL508">
        <v>0</v>
      </c>
      <c r="AM508">
        <v>0</v>
      </c>
    </row>
    <row r="509" spans="1:39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AL509">
        <v>0</v>
      </c>
      <c r="AM509">
        <v>0</v>
      </c>
    </row>
    <row r="510" spans="1:39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AL510">
        <v>0</v>
      </c>
      <c r="AM510">
        <v>0</v>
      </c>
    </row>
    <row r="511" spans="1:39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AL511">
        <v>0</v>
      </c>
      <c r="AM511">
        <v>0</v>
      </c>
    </row>
    <row r="512" spans="1:39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AL512">
        <v>0</v>
      </c>
      <c r="AM512">
        <v>0</v>
      </c>
    </row>
    <row r="513" spans="1:39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AL513">
        <v>0</v>
      </c>
      <c r="AM513">
        <v>0</v>
      </c>
    </row>
    <row r="514" spans="1:39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AL514">
        <v>0</v>
      </c>
      <c r="AM514">
        <v>0</v>
      </c>
    </row>
    <row r="515" spans="1:39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AL515">
        <v>0</v>
      </c>
      <c r="AM515">
        <v>0</v>
      </c>
    </row>
    <row r="516" spans="1:39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AL516">
        <v>0</v>
      </c>
      <c r="AM516">
        <v>0</v>
      </c>
    </row>
    <row r="517" spans="1:39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AL517">
        <v>0</v>
      </c>
      <c r="AM517">
        <v>0</v>
      </c>
    </row>
    <row r="518" spans="1:39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AL518">
        <v>0</v>
      </c>
      <c r="AM518">
        <v>0</v>
      </c>
    </row>
    <row r="519" spans="1:39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AL519">
        <v>0</v>
      </c>
      <c r="AM519">
        <v>0</v>
      </c>
    </row>
    <row r="520" spans="1:39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AL520">
        <v>0</v>
      </c>
      <c r="AM520">
        <v>0</v>
      </c>
    </row>
    <row r="521" spans="1:39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AL521">
        <v>0</v>
      </c>
      <c r="AM521">
        <v>0</v>
      </c>
    </row>
    <row r="522" spans="1:39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AL522">
        <v>0</v>
      </c>
      <c r="AM522">
        <v>0</v>
      </c>
    </row>
    <row r="523" spans="1:39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AL523">
        <v>0</v>
      </c>
      <c r="AM523">
        <v>0</v>
      </c>
    </row>
    <row r="524" spans="1:39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AL524">
        <v>0</v>
      </c>
      <c r="AM524">
        <v>0</v>
      </c>
    </row>
    <row r="525" spans="1:39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AL525">
        <v>0</v>
      </c>
      <c r="AM525">
        <v>0</v>
      </c>
    </row>
    <row r="526" spans="1:39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AL526">
        <v>0</v>
      </c>
      <c r="AM526">
        <v>0</v>
      </c>
    </row>
    <row r="527" spans="1:39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AL527">
        <v>0</v>
      </c>
      <c r="AM527">
        <v>0</v>
      </c>
    </row>
    <row r="528" spans="1:39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AL528">
        <v>0</v>
      </c>
      <c r="AM528">
        <v>0</v>
      </c>
    </row>
    <row r="529" spans="1:39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AL529">
        <v>0</v>
      </c>
      <c r="AM529">
        <v>0</v>
      </c>
    </row>
    <row r="530" spans="1:39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AL530">
        <v>0</v>
      </c>
      <c r="AM530">
        <v>0</v>
      </c>
    </row>
    <row r="531" spans="1:39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AL531">
        <v>0</v>
      </c>
      <c r="AM531">
        <v>0</v>
      </c>
    </row>
    <row r="532" spans="1:39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AL532">
        <v>0</v>
      </c>
      <c r="AM532">
        <v>1</v>
      </c>
    </row>
    <row r="533" spans="1:39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AL533">
        <v>0</v>
      </c>
      <c r="AM533">
        <v>1</v>
      </c>
    </row>
    <row r="534" spans="1:39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AL534">
        <v>0</v>
      </c>
      <c r="AM534">
        <v>0</v>
      </c>
    </row>
    <row r="535" spans="1:39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AL535">
        <v>0</v>
      </c>
      <c r="AM535">
        <v>0</v>
      </c>
    </row>
    <row r="536" spans="1:39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AL536">
        <v>0</v>
      </c>
      <c r="AM536">
        <v>0</v>
      </c>
    </row>
    <row r="537" spans="1:39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AL537">
        <v>0</v>
      </c>
      <c r="AM537">
        <v>1</v>
      </c>
    </row>
    <row r="538" spans="1:39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AL538">
        <v>0</v>
      </c>
      <c r="AM538">
        <v>0</v>
      </c>
    </row>
    <row r="539" spans="1:39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AL539">
        <v>0</v>
      </c>
      <c r="AM539">
        <v>0</v>
      </c>
    </row>
    <row r="540" spans="1:39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AL540">
        <v>0</v>
      </c>
      <c r="AM540">
        <v>0</v>
      </c>
    </row>
    <row r="541" spans="1:39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AL541">
        <v>0</v>
      </c>
      <c r="AM541">
        <v>0</v>
      </c>
    </row>
    <row r="542" spans="1:39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AL542">
        <v>0</v>
      </c>
      <c r="AM542">
        <v>0</v>
      </c>
    </row>
    <row r="543" spans="1:39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AL543">
        <v>0</v>
      </c>
      <c r="AM543">
        <v>0</v>
      </c>
    </row>
    <row r="544" spans="1:39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AL544">
        <v>0</v>
      </c>
      <c r="AM544">
        <v>0</v>
      </c>
    </row>
    <row r="545" spans="1:39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AL545">
        <v>0</v>
      </c>
      <c r="AM545">
        <v>0</v>
      </c>
    </row>
    <row r="546" spans="1:39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AL546">
        <v>0</v>
      </c>
      <c r="AM546">
        <v>0</v>
      </c>
    </row>
    <row r="547" spans="1:39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AL547">
        <v>0</v>
      </c>
      <c r="AM547">
        <v>0</v>
      </c>
    </row>
    <row r="548" spans="1:39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AL548">
        <v>0</v>
      </c>
      <c r="AM548">
        <v>1</v>
      </c>
    </row>
    <row r="549" spans="1:39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AL549">
        <v>0</v>
      </c>
      <c r="AM549">
        <v>0</v>
      </c>
    </row>
    <row r="550" spans="1:39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AL550">
        <v>0</v>
      </c>
      <c r="AM550">
        <v>0</v>
      </c>
    </row>
    <row r="551" spans="1:39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AL551">
        <v>0</v>
      </c>
      <c r="AM551">
        <v>0</v>
      </c>
    </row>
    <row r="552" spans="1:39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AL552">
        <v>0</v>
      </c>
      <c r="AM552">
        <v>0</v>
      </c>
    </row>
    <row r="553" spans="1:39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AL553">
        <v>0</v>
      </c>
      <c r="AM553">
        <v>0</v>
      </c>
    </row>
    <row r="554" spans="1:39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AL554">
        <v>0</v>
      </c>
      <c r="AM554">
        <v>0</v>
      </c>
    </row>
    <row r="555" spans="1:39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AL555">
        <v>0</v>
      </c>
      <c r="AM555">
        <v>0</v>
      </c>
    </row>
    <row r="556" spans="1:39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AL556">
        <v>0</v>
      </c>
      <c r="AM556">
        <v>0</v>
      </c>
    </row>
    <row r="557" spans="1:39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AL557">
        <v>0</v>
      </c>
      <c r="AM557">
        <v>0</v>
      </c>
    </row>
    <row r="558" spans="1:39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AL558">
        <v>0</v>
      </c>
      <c r="AM558">
        <v>0</v>
      </c>
    </row>
    <row r="559" spans="1:39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AL559">
        <v>0</v>
      </c>
      <c r="AM559">
        <v>0</v>
      </c>
    </row>
    <row r="560" spans="1:39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AL560">
        <v>0</v>
      </c>
      <c r="AM560">
        <v>0</v>
      </c>
    </row>
    <row r="561" spans="1:39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AL561">
        <v>0</v>
      </c>
      <c r="AM561">
        <v>0</v>
      </c>
    </row>
    <row r="562" spans="1:39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AL562">
        <v>0</v>
      </c>
      <c r="AM562">
        <v>1</v>
      </c>
    </row>
    <row r="563" spans="1:39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AL563">
        <v>0</v>
      </c>
      <c r="AM563">
        <v>0</v>
      </c>
    </row>
    <row r="564" spans="1:39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AL564">
        <v>0</v>
      </c>
      <c r="AM564">
        <v>0</v>
      </c>
    </row>
    <row r="565" spans="1:39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AL565">
        <v>0</v>
      </c>
      <c r="AM565">
        <v>0</v>
      </c>
    </row>
    <row r="566" spans="1:39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AL566">
        <v>0</v>
      </c>
      <c r="AM566">
        <v>0</v>
      </c>
    </row>
    <row r="567" spans="1:39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AL567">
        <v>0</v>
      </c>
      <c r="AM567">
        <v>1</v>
      </c>
    </row>
    <row r="568" spans="1:39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AL568">
        <v>0</v>
      </c>
      <c r="AM568">
        <v>0</v>
      </c>
    </row>
    <row r="569" spans="1:39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AL569">
        <v>0</v>
      </c>
      <c r="AM569">
        <v>0</v>
      </c>
    </row>
    <row r="570" spans="1:39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AL570">
        <v>0</v>
      </c>
      <c r="AM570">
        <v>0</v>
      </c>
    </row>
    <row r="571" spans="1:39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AL571">
        <v>0</v>
      </c>
      <c r="AM571">
        <v>0</v>
      </c>
    </row>
    <row r="572" spans="1:39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AL572">
        <v>0</v>
      </c>
      <c r="AM572">
        <v>0</v>
      </c>
    </row>
    <row r="573" spans="1:39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AL573">
        <v>0</v>
      </c>
      <c r="AM573">
        <v>0</v>
      </c>
    </row>
    <row r="574" spans="1:39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AL574">
        <v>0</v>
      </c>
      <c r="AM574">
        <v>0</v>
      </c>
    </row>
    <row r="575" spans="1:39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AL575">
        <v>0</v>
      </c>
      <c r="AM575">
        <v>0</v>
      </c>
    </row>
    <row r="576" spans="1:39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AL576">
        <v>0</v>
      </c>
      <c r="AM576">
        <v>0</v>
      </c>
    </row>
    <row r="577" spans="1:39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AL577">
        <v>0</v>
      </c>
      <c r="AM577">
        <v>0</v>
      </c>
    </row>
    <row r="578" spans="1:39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AL578">
        <v>0</v>
      </c>
      <c r="AM578">
        <v>0</v>
      </c>
    </row>
    <row r="579" spans="1:39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AL579">
        <v>0</v>
      </c>
      <c r="AM579">
        <v>0</v>
      </c>
    </row>
    <row r="580" spans="1:39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AL580">
        <v>0</v>
      </c>
      <c r="AM580">
        <v>0</v>
      </c>
    </row>
    <row r="581" spans="1:39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AL581">
        <v>0</v>
      </c>
      <c r="AM581">
        <v>0</v>
      </c>
    </row>
    <row r="582" spans="1:39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AL582">
        <v>0</v>
      </c>
      <c r="AM582">
        <v>0</v>
      </c>
    </row>
    <row r="583" spans="1:39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AL583">
        <v>0</v>
      </c>
      <c r="AM583">
        <v>0</v>
      </c>
    </row>
    <row r="584" spans="1:39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AL584">
        <v>0</v>
      </c>
      <c r="AM584">
        <v>0</v>
      </c>
    </row>
    <row r="585" spans="1:39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AL585">
        <v>0</v>
      </c>
      <c r="AM585">
        <v>0</v>
      </c>
    </row>
    <row r="586" spans="1:39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AL586">
        <v>0</v>
      </c>
      <c r="AM586">
        <v>0</v>
      </c>
    </row>
    <row r="587" spans="1:39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AL587">
        <v>0</v>
      </c>
      <c r="AM587">
        <v>0</v>
      </c>
    </row>
    <row r="588" spans="1:39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AL588">
        <v>0</v>
      </c>
      <c r="AM588">
        <v>0</v>
      </c>
    </row>
    <row r="589" spans="1:39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AL589">
        <v>0</v>
      </c>
      <c r="AM589">
        <v>0</v>
      </c>
    </row>
    <row r="590" spans="1:39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AL590">
        <v>0</v>
      </c>
      <c r="AM590">
        <v>0</v>
      </c>
    </row>
    <row r="591" spans="1:39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AL591">
        <v>0</v>
      </c>
      <c r="AM591">
        <v>0</v>
      </c>
    </row>
    <row r="592" spans="1:39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AL592">
        <v>0</v>
      </c>
      <c r="AM592">
        <v>0</v>
      </c>
    </row>
    <row r="593" spans="1:39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AL593">
        <v>0</v>
      </c>
      <c r="AM593">
        <v>0</v>
      </c>
    </row>
    <row r="594" spans="1:39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AL594">
        <v>0</v>
      </c>
      <c r="AM594">
        <v>0</v>
      </c>
    </row>
    <row r="595" spans="1:39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AL595">
        <v>1</v>
      </c>
      <c r="AM595">
        <v>0</v>
      </c>
    </row>
    <row r="596" spans="1:39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AL596">
        <v>0</v>
      </c>
      <c r="AM596">
        <v>0</v>
      </c>
    </row>
    <row r="597" spans="1:39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AL597">
        <v>0</v>
      </c>
      <c r="AM597">
        <v>0</v>
      </c>
    </row>
    <row r="598" spans="1:39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AL598">
        <v>0</v>
      </c>
      <c r="AM598">
        <v>0</v>
      </c>
    </row>
    <row r="599" spans="1:39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AL599">
        <v>0</v>
      </c>
      <c r="AM599">
        <v>0</v>
      </c>
    </row>
    <row r="600" spans="1:39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AL600">
        <v>0</v>
      </c>
      <c r="AM600">
        <v>0</v>
      </c>
    </row>
    <row r="601" spans="1:39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AL601">
        <v>0</v>
      </c>
      <c r="AM601">
        <v>0</v>
      </c>
    </row>
    <row r="602" spans="1:39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AL602">
        <v>0</v>
      </c>
      <c r="AM602">
        <v>0</v>
      </c>
    </row>
    <row r="603" spans="1:39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AL603">
        <v>0</v>
      </c>
      <c r="AM603">
        <v>0</v>
      </c>
    </row>
    <row r="604" spans="1:39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AL604">
        <v>0</v>
      </c>
      <c r="AM604">
        <v>0</v>
      </c>
    </row>
    <row r="605" spans="1:39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AL605">
        <v>0</v>
      </c>
      <c r="AM605">
        <v>0</v>
      </c>
    </row>
    <row r="606" spans="1:39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AL606">
        <v>0</v>
      </c>
      <c r="AM606">
        <v>0</v>
      </c>
    </row>
    <row r="607" spans="1:39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AL607">
        <v>0</v>
      </c>
      <c r="AM607">
        <v>0</v>
      </c>
    </row>
    <row r="608" spans="1:39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AL608">
        <v>0</v>
      </c>
      <c r="AM608">
        <v>1</v>
      </c>
    </row>
    <row r="609" spans="1:39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AL609">
        <v>0</v>
      </c>
      <c r="AM609">
        <v>0</v>
      </c>
    </row>
    <row r="610" spans="1:39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AL610">
        <v>0</v>
      </c>
      <c r="AM610">
        <v>0</v>
      </c>
    </row>
    <row r="611" spans="1:39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AL611">
        <v>0</v>
      </c>
      <c r="AM611">
        <v>0</v>
      </c>
    </row>
    <row r="612" spans="1:39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AL612">
        <v>0</v>
      </c>
      <c r="AM612">
        <v>0</v>
      </c>
    </row>
    <row r="613" spans="1:39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AL613">
        <v>0</v>
      </c>
      <c r="AM613">
        <v>0</v>
      </c>
    </row>
    <row r="614" spans="1:39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AL614">
        <v>0</v>
      </c>
      <c r="AM614">
        <v>0</v>
      </c>
    </row>
    <row r="615" spans="1:39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AL615">
        <v>0</v>
      </c>
      <c r="AM615">
        <v>0</v>
      </c>
    </row>
    <row r="616" spans="1:39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AL616">
        <v>0</v>
      </c>
      <c r="AM616">
        <v>0</v>
      </c>
    </row>
    <row r="617" spans="1:39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AL617">
        <v>0</v>
      </c>
      <c r="AM617">
        <v>0</v>
      </c>
    </row>
    <row r="618" spans="1:39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AL618">
        <v>0</v>
      </c>
      <c r="AM618">
        <v>0</v>
      </c>
    </row>
    <row r="619" spans="1:39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AL619">
        <v>0</v>
      </c>
      <c r="AM619">
        <v>0</v>
      </c>
    </row>
    <row r="620" spans="1:39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AL620">
        <v>0</v>
      </c>
      <c r="AM620">
        <v>0</v>
      </c>
    </row>
    <row r="621" spans="1:39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AL621">
        <v>0</v>
      </c>
      <c r="AM621">
        <v>0</v>
      </c>
    </row>
    <row r="622" spans="1:39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AL622">
        <v>0</v>
      </c>
      <c r="AM622">
        <v>1</v>
      </c>
    </row>
    <row r="623" spans="1:39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AL623">
        <v>0</v>
      </c>
      <c r="AM623">
        <v>0</v>
      </c>
    </row>
    <row r="624" spans="1:39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AL624">
        <v>0</v>
      </c>
      <c r="AM624">
        <v>0</v>
      </c>
    </row>
    <row r="625" spans="1:39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AL625">
        <v>0</v>
      </c>
      <c r="AM625">
        <v>0</v>
      </c>
    </row>
    <row r="626" spans="1:39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AL626">
        <v>0</v>
      </c>
      <c r="AM626">
        <v>0</v>
      </c>
    </row>
    <row r="627" spans="1:39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AL627">
        <v>0</v>
      </c>
      <c r="AM627">
        <v>0</v>
      </c>
    </row>
    <row r="628" spans="1:39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AL628">
        <v>0</v>
      </c>
      <c r="AM628">
        <v>0</v>
      </c>
    </row>
    <row r="629" spans="1:39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AL629">
        <v>0</v>
      </c>
      <c r="AM629">
        <v>0</v>
      </c>
    </row>
    <row r="630" spans="1:39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AL630">
        <v>0</v>
      </c>
      <c r="AM630">
        <v>1</v>
      </c>
    </row>
    <row r="631" spans="1:39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AL631">
        <v>0</v>
      </c>
      <c r="AM631">
        <v>0</v>
      </c>
    </row>
    <row r="632" spans="1:39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AL632">
        <v>0</v>
      </c>
      <c r="AM632">
        <v>0</v>
      </c>
    </row>
    <row r="633" spans="1:39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AL633">
        <v>0</v>
      </c>
      <c r="AM633">
        <v>1</v>
      </c>
    </row>
    <row r="634" spans="1:39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AL634">
        <v>0</v>
      </c>
      <c r="AM634">
        <v>0</v>
      </c>
    </row>
    <row r="635" spans="1:39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AL635">
        <v>0</v>
      </c>
      <c r="AM635">
        <v>0</v>
      </c>
    </row>
    <row r="636" spans="1:39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AL636">
        <v>0</v>
      </c>
      <c r="AM636">
        <v>0</v>
      </c>
    </row>
    <row r="637" spans="1:39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AL637">
        <v>0</v>
      </c>
      <c r="AM637">
        <v>0</v>
      </c>
    </row>
    <row r="638" spans="1:39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AL638">
        <v>0</v>
      </c>
      <c r="AM638">
        <v>0</v>
      </c>
    </row>
    <row r="639" spans="1:39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AL639">
        <v>0</v>
      </c>
      <c r="AM639">
        <v>0</v>
      </c>
    </row>
    <row r="640" spans="1:39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AL640">
        <v>0</v>
      </c>
      <c r="AM640">
        <v>0</v>
      </c>
    </row>
    <row r="641" spans="1:39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AL641">
        <v>0</v>
      </c>
      <c r="AM641">
        <v>0</v>
      </c>
    </row>
    <row r="642" spans="1:39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AL642">
        <v>0</v>
      </c>
      <c r="AM642">
        <v>0</v>
      </c>
    </row>
    <row r="643" spans="1:39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AL643">
        <v>0</v>
      </c>
      <c r="AM643">
        <v>0</v>
      </c>
    </row>
    <row r="644" spans="1:39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AL644">
        <v>0</v>
      </c>
      <c r="AM644">
        <v>0</v>
      </c>
    </row>
    <row r="645" spans="1:39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AL645">
        <v>0</v>
      </c>
      <c r="AM645">
        <v>0</v>
      </c>
    </row>
    <row r="646" spans="1:39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AL646">
        <v>0</v>
      </c>
      <c r="AM646">
        <v>0</v>
      </c>
    </row>
    <row r="647" spans="1:39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AL647">
        <v>0</v>
      </c>
      <c r="AM647">
        <v>0</v>
      </c>
    </row>
    <row r="648" spans="1:39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AL648">
        <v>0</v>
      </c>
      <c r="AM648">
        <v>0</v>
      </c>
    </row>
    <row r="649" spans="1:39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AL649">
        <v>0</v>
      </c>
      <c r="AM649">
        <v>0</v>
      </c>
    </row>
    <row r="650" spans="1:39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AL650">
        <v>0</v>
      </c>
      <c r="AM650">
        <v>0</v>
      </c>
    </row>
    <row r="651" spans="1:39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AL651">
        <v>0</v>
      </c>
      <c r="AM651">
        <v>0</v>
      </c>
    </row>
    <row r="652" spans="1:39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AL652">
        <v>0</v>
      </c>
      <c r="AM652">
        <v>0</v>
      </c>
    </row>
    <row r="653" spans="1:39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AL653">
        <v>0</v>
      </c>
      <c r="AM653">
        <v>0</v>
      </c>
    </row>
    <row r="654" spans="1:39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AL654">
        <v>0</v>
      </c>
      <c r="AM654">
        <v>0</v>
      </c>
    </row>
    <row r="655" spans="1:39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AL655">
        <v>0</v>
      </c>
      <c r="AM655">
        <v>0</v>
      </c>
    </row>
    <row r="656" spans="1:39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AL656">
        <v>0</v>
      </c>
      <c r="AM656">
        <v>0</v>
      </c>
    </row>
    <row r="657" spans="1:39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AL657">
        <v>0</v>
      </c>
      <c r="AM657">
        <v>0</v>
      </c>
    </row>
    <row r="658" spans="1:39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AL658">
        <v>0</v>
      </c>
      <c r="AM658">
        <v>0</v>
      </c>
    </row>
    <row r="659" spans="1:39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AL659">
        <v>0</v>
      </c>
      <c r="AM659">
        <v>0</v>
      </c>
    </row>
    <row r="660" spans="1:39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AL660">
        <v>0</v>
      </c>
      <c r="AM660">
        <v>0</v>
      </c>
    </row>
    <row r="661" spans="1:39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AL661">
        <v>1</v>
      </c>
      <c r="AM661">
        <v>1</v>
      </c>
    </row>
    <row r="662" spans="1:39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AL662">
        <v>0</v>
      </c>
      <c r="AM662">
        <v>0</v>
      </c>
    </row>
    <row r="663" spans="1:39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AL663">
        <v>0</v>
      </c>
      <c r="AM663">
        <v>0</v>
      </c>
    </row>
    <row r="664" spans="1:39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AL664">
        <v>0</v>
      </c>
      <c r="AM664">
        <v>0</v>
      </c>
    </row>
    <row r="665" spans="1:39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AL665">
        <v>0</v>
      </c>
      <c r="AM665">
        <v>0</v>
      </c>
    </row>
    <row r="666" spans="1:39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AL666">
        <v>0</v>
      </c>
      <c r="AM666">
        <v>0</v>
      </c>
    </row>
    <row r="667" spans="1:39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AL667">
        <v>0</v>
      </c>
      <c r="AM667">
        <v>0</v>
      </c>
    </row>
    <row r="668" spans="1:39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AL668">
        <v>0</v>
      </c>
      <c r="AM668">
        <v>0</v>
      </c>
    </row>
    <row r="669" spans="1:39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AL669">
        <v>0</v>
      </c>
      <c r="AM669">
        <v>0</v>
      </c>
    </row>
    <row r="670" spans="1:39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AL670">
        <v>0</v>
      </c>
      <c r="AM670">
        <v>0</v>
      </c>
    </row>
    <row r="671" spans="1:39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AL671">
        <v>0</v>
      </c>
      <c r="AM671">
        <v>0</v>
      </c>
    </row>
    <row r="672" spans="1:39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AL672">
        <v>0</v>
      </c>
      <c r="AM672">
        <v>0</v>
      </c>
    </row>
    <row r="673" spans="1:39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AL673">
        <v>0</v>
      </c>
      <c r="AM673">
        <v>0</v>
      </c>
    </row>
    <row r="674" spans="1:39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AL674">
        <v>0</v>
      </c>
      <c r="AM674">
        <v>0</v>
      </c>
    </row>
    <row r="675" spans="1:39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AL675">
        <v>0</v>
      </c>
      <c r="AM675">
        <v>0</v>
      </c>
    </row>
    <row r="676" spans="1:39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AL676">
        <v>0</v>
      </c>
      <c r="AM676">
        <v>0</v>
      </c>
    </row>
    <row r="677" spans="1:39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AL677">
        <v>0</v>
      </c>
      <c r="AM677">
        <v>0</v>
      </c>
    </row>
    <row r="678" spans="1:39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AL678">
        <v>0</v>
      </c>
      <c r="AM678">
        <v>0</v>
      </c>
    </row>
    <row r="679" spans="1:39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AL679">
        <v>0</v>
      </c>
      <c r="AM679">
        <v>0</v>
      </c>
    </row>
    <row r="680" spans="1:39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AL680">
        <v>0</v>
      </c>
      <c r="AM680">
        <v>0</v>
      </c>
    </row>
    <row r="681" spans="1:39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AL681">
        <v>0</v>
      </c>
      <c r="AM681">
        <v>0</v>
      </c>
    </row>
    <row r="682" spans="1:39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AL682">
        <v>0</v>
      </c>
      <c r="AM682">
        <v>0</v>
      </c>
    </row>
    <row r="683" spans="1:39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AL683">
        <v>0</v>
      </c>
      <c r="AM683">
        <v>0</v>
      </c>
    </row>
    <row r="684" spans="1:39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AL684">
        <v>0</v>
      </c>
      <c r="AM684">
        <v>0</v>
      </c>
    </row>
    <row r="685" spans="1:39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AL685">
        <v>0</v>
      </c>
      <c r="AM685">
        <v>0</v>
      </c>
    </row>
    <row r="686" spans="1:39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AL686">
        <v>0</v>
      </c>
      <c r="AM686">
        <v>0</v>
      </c>
    </row>
    <row r="687" spans="1:39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AL687">
        <v>0</v>
      </c>
      <c r="AM687">
        <v>0</v>
      </c>
    </row>
    <row r="688" spans="1:39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AL688">
        <v>0</v>
      </c>
      <c r="AM688">
        <v>0</v>
      </c>
    </row>
    <row r="689" spans="1:39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AL689">
        <v>0</v>
      </c>
      <c r="AM689">
        <v>0</v>
      </c>
    </row>
    <row r="690" spans="1:39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AL690">
        <v>0</v>
      </c>
      <c r="AM690">
        <v>1</v>
      </c>
    </row>
    <row r="691" spans="1:39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AL691">
        <v>0</v>
      </c>
      <c r="AM691">
        <v>0</v>
      </c>
    </row>
    <row r="692" spans="1:39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AL692">
        <v>0</v>
      </c>
      <c r="AM692">
        <v>0</v>
      </c>
    </row>
    <row r="693" spans="1:39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AL693">
        <v>0</v>
      </c>
      <c r="AM693">
        <v>0</v>
      </c>
    </row>
    <row r="694" spans="1:39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AL694">
        <v>0</v>
      </c>
      <c r="AM694">
        <v>0</v>
      </c>
    </row>
    <row r="695" spans="1:39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AM695">
        <v>0</v>
      </c>
    </row>
    <row r="696" spans="1:39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AM696">
        <v>0</v>
      </c>
    </row>
    <row r="697" spans="1:39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AM697">
        <v>0</v>
      </c>
    </row>
    <row r="698" spans="1:39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AM698">
        <v>0</v>
      </c>
    </row>
    <row r="699" spans="1:39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AM699">
        <v>0</v>
      </c>
    </row>
    <row r="700" spans="1:39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AM700">
        <v>0</v>
      </c>
    </row>
    <row r="701" spans="1:39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AM701">
        <v>0</v>
      </c>
    </row>
    <row r="702" spans="1:39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AM702">
        <v>0</v>
      </c>
    </row>
    <row r="703" spans="1:39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AM703">
        <v>0</v>
      </c>
    </row>
    <row r="704" spans="1:39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AM704">
        <v>0</v>
      </c>
    </row>
    <row r="705" spans="1:39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AM705">
        <v>0</v>
      </c>
    </row>
    <row r="706" spans="1:39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AM706">
        <v>0</v>
      </c>
    </row>
    <row r="707" spans="1:39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AM707">
        <v>1</v>
      </c>
    </row>
    <row r="708" spans="1:39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AM708">
        <v>0</v>
      </c>
    </row>
    <row r="709" spans="1:39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AM709">
        <v>0</v>
      </c>
    </row>
    <row r="710" spans="1:39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AM710">
        <v>0</v>
      </c>
    </row>
    <row r="711" spans="1:39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AM711">
        <v>0</v>
      </c>
    </row>
    <row r="712" spans="1:39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AM712">
        <v>0</v>
      </c>
    </row>
    <row r="713" spans="1:39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AM713">
        <v>0</v>
      </c>
    </row>
    <row r="714" spans="1:39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AM714">
        <v>0</v>
      </c>
    </row>
    <row r="715" spans="1:39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AM715">
        <v>0</v>
      </c>
    </row>
    <row r="716" spans="1:39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AM716">
        <v>0</v>
      </c>
    </row>
    <row r="717" spans="1:39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39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39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39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mergeCells count="1">
    <mergeCell ref="R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75">
      <c r="A5" s="3" t="s">
        <v>1439</v>
      </c>
      <c r="B5" s="3" t="s">
        <v>1440</v>
      </c>
    </row>
    <row r="6" spans="1:2" ht="28.5">
      <c r="A6" s="3" t="s">
        <v>7</v>
      </c>
      <c r="B6" s="3" t="s">
        <v>1441</v>
      </c>
    </row>
    <row r="7" spans="1:2" ht="28.5">
      <c r="A7" s="3" t="s">
        <v>8</v>
      </c>
      <c r="B7" s="3" t="s">
        <v>1442</v>
      </c>
    </row>
    <row r="8" spans="1:2" ht="28.5">
      <c r="A8" s="3" t="s">
        <v>9</v>
      </c>
      <c r="B8" s="3" t="s">
        <v>1443</v>
      </c>
    </row>
    <row r="9" spans="1:2" ht="28.5">
      <c r="A9" s="3" t="s">
        <v>10</v>
      </c>
      <c r="B9" s="3" t="s">
        <v>1444</v>
      </c>
    </row>
    <row r="10" spans="1:2" ht="28.5">
      <c r="A10" s="3" t="s">
        <v>11</v>
      </c>
      <c r="B10" s="3" t="s">
        <v>1445</v>
      </c>
    </row>
    <row r="11" spans="1:2" ht="28.5">
      <c r="A11" s="3" t="s">
        <v>12</v>
      </c>
      <c r="B11" s="3" t="s">
        <v>1446</v>
      </c>
    </row>
    <row r="12" spans="1:2" ht="28.5">
      <c r="A12" s="3" t="s">
        <v>13</v>
      </c>
      <c r="B12" s="3" t="s">
        <v>1447</v>
      </c>
    </row>
    <row r="13" spans="1:2" ht="28.5">
      <c r="A13" s="3" t="s">
        <v>15</v>
      </c>
      <c r="B13" s="3" t="s">
        <v>1448</v>
      </c>
    </row>
    <row r="14" spans="1:2" ht="57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bhoirpranav831@gmail.com</cp:lastModifiedBy>
  <dcterms:modified xsi:type="dcterms:W3CDTF">2026-06-25T08:28:26Z</dcterms:modified>
</cp:coreProperties>
</file>